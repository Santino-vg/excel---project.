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30" yWindow="560" windowWidth="13120" windowHeight="4990" activeTab="2"/>
  </bookViews>
  <sheets>
    <sheet name="Job Brief" sheetId="1" r:id="rId1"/>
    <sheet name="Source Data" sheetId="2" r:id="rId2"/>
    <sheet name="Solution (cleaned) - answer" sheetId="4" r:id="rId3"/>
    <sheet name="Sheet1" sheetId="5" r:id="rId4"/>
    <sheet name="Sheet2" sheetId="6" r:id="rId5"/>
  </sheets>
  <calcPr calcId="0"/>
  <pivotCaches>
    <pivotCache cacheId="8" r:id="rId6"/>
  </pivotCaches>
</workbook>
</file>

<file path=xl/sharedStrings.xml><?xml version="1.0" encoding="utf-8"?>
<sst xmlns="http://schemas.openxmlformats.org/spreadsheetml/2006/main" count="693" uniqueCount="345">
  <si>
    <t>Project Title</t>
  </si>
  <si>
    <t>Client (you)</t>
  </si>
  <si>
    <t>Description</t>
  </si>
  <si>
    <t>Deliverables</t>
  </si>
  <si>
    <t>Skills practiced</t>
  </si>
  <si>
    <t>Acceptance Criteria</t>
  </si>
  <si>
    <t>Payment</t>
  </si>
  <si>
    <t>Notes</t>
  </si>
  <si>
    <t>$60 Data Entry – Clean &amp; Structure 40 Sales Records</t>
  </si>
  <si>
    <t>Acme Data Co. (simulated)</t>
  </si>
  <si>
    <t>Enter and clean 40 sales records from the 'Source Data' sheet into the 'Template' sheet. Normalize dates, quantities and prices, compute totals, apply data validation for Status, and deliver the filled Template. The client (me) will pay $60 on acceptance.</t>
  </si>
  <si>
    <t>1) Completed Template sheet (Excel). 2) Short notes about any ambiguous rows. 3) Optional: a PivotTable summarizing sales by Item (bonus).</t>
  </si>
  <si>
    <t>Data entry, text cleanup (TRIM/PROPER/SUBSTITUTE), parsing values (VALUE, DATE), formulas (SUM, IFERROR), VLOOKUP/XLOOKUP, Pivot Table, Data Validation, Conditional Formatting.</t>
  </si>
  <si>
    <t>All 40 rows present in Template; Dates in YYYY-MM-DD; Quantity and UnitPrice numeric; Total = Quantity*UnitPrice; Status normalized to Paid/Unpaid/Refunded; no leftover $ or text in numeric cells.</t>
  </si>
  <si>
    <t>$60 (simulated)</t>
  </si>
  <si>
    <t>This workbook contains a 'Solution' sheet with one possible correct cleaned version for self-checking. Use the Template sheet to submit your work; do not overwrite 'Source Data' or 'Solution' sheets.</t>
  </si>
  <si>
    <t>SourceInvoice</t>
  </si>
  <si>
    <t>SourceDate</t>
  </si>
  <si>
    <t>SourceCustomer</t>
  </si>
  <si>
    <t>SourceAddress</t>
  </si>
  <si>
    <t>SourceItem</t>
  </si>
  <si>
    <t>SourceQuantity</t>
  </si>
  <si>
    <t>SourceUnitPrice</t>
  </si>
  <si>
    <t>SourceTotal</t>
  </si>
  <si>
    <t>SourceStatus</t>
  </si>
  <si>
    <t>SourceNotes</t>
  </si>
  <si>
    <t>#1001</t>
  </si>
  <si>
    <t>2026-01-05</t>
  </si>
  <si>
    <t>noah johnson</t>
  </si>
  <si>
    <t>56 Elm St, Suite 2</t>
  </si>
  <si>
    <t>Laptop Stand</t>
  </si>
  <si>
    <t xml:space="preserve"> 3</t>
  </si>
  <si>
    <t>100.36 USD</t>
  </si>
  <si>
    <t>unpaid</t>
  </si>
  <si>
    <t>leave at front desk</t>
  </si>
  <si>
    <t>INV-1002</t>
  </si>
  <si>
    <t>January 15, 2026</t>
  </si>
  <si>
    <t>emma lee</t>
  </si>
  <si>
    <t>USB-C Cable</t>
  </si>
  <si>
    <t>4pcs</t>
  </si>
  <si>
    <t>$9.03</t>
  </si>
  <si>
    <t>repeat customer</t>
  </si>
  <si>
    <t>#1003</t>
  </si>
  <si>
    <t>2026-01-24</t>
  </si>
  <si>
    <t>michael lee</t>
  </si>
  <si>
    <t>Keyboard</t>
  </si>
  <si>
    <t>2pcs</t>
  </si>
  <si>
    <t>48.87 USD</t>
  </si>
  <si>
    <t>paid</t>
  </si>
  <si>
    <t>email invoice</t>
  </si>
  <si>
    <t>inv1004</t>
  </si>
  <si>
    <t>01/30/2026</t>
  </si>
  <si>
    <t>emma smith</t>
  </si>
  <si>
    <t>56 Elm St, Suite 2, Tel:8084237159</t>
  </si>
  <si>
    <t>1pcs</t>
  </si>
  <si>
    <t>70.11</t>
  </si>
  <si>
    <t>refunded</t>
  </si>
  <si>
    <t>INV-1005</t>
  </si>
  <si>
    <t>09-Jan-2026</t>
  </si>
  <si>
    <t>sophia brown</t>
  </si>
  <si>
    <t>45B Baker St.</t>
  </si>
  <si>
    <t>Desk Lamp</t>
  </si>
  <si>
    <t>6</t>
  </si>
  <si>
    <t>117.41</t>
  </si>
  <si>
    <t>Pending</t>
  </si>
  <si>
    <t>inv1006</t>
  </si>
  <si>
    <t>2026-02-09</t>
  </si>
  <si>
    <t>emma brown</t>
  </si>
  <si>
    <t>PO Box 12, Tel:8791690661</t>
  </si>
  <si>
    <t>1</t>
  </si>
  <si>
    <t>$44.01</t>
  </si>
  <si>
    <t>inv1007</t>
  </si>
  <si>
    <t>2026-01-18</t>
  </si>
  <si>
    <t>alex o'connor</t>
  </si>
  <si>
    <t>10</t>
  </si>
  <si>
    <t>20.8</t>
  </si>
  <si>
    <t>INV-1008</t>
  </si>
  <si>
    <t>January 13, 2026</t>
  </si>
  <si>
    <t>olivia davis</t>
  </si>
  <si>
    <t xml:space="preserve">5 </t>
  </si>
  <si>
    <t>$15.41</t>
  </si>
  <si>
    <t>INV-1009</t>
  </si>
  <si>
    <t>2026-02-03</t>
  </si>
  <si>
    <t>liam o'connor</t>
  </si>
  <si>
    <t>PO Box 12, Tel:5296472699</t>
  </si>
  <si>
    <t>Bluetooth Headset</t>
  </si>
  <si>
    <t>34.02</t>
  </si>
  <si>
    <t>call before delivery</t>
  </si>
  <si>
    <t>inv1010</t>
  </si>
  <si>
    <t>11-Jan-2026</t>
  </si>
  <si>
    <t>michael davis</t>
  </si>
  <si>
    <t>Unit 7, 200 King Rd</t>
  </si>
  <si>
    <t>two</t>
  </si>
  <si>
    <t>$106.71</t>
  </si>
  <si>
    <t>inv1011</t>
  </si>
  <si>
    <t>01/09/2026</t>
  </si>
  <si>
    <t>alex lee</t>
  </si>
  <si>
    <t>107.13</t>
  </si>
  <si>
    <t>#1012</t>
  </si>
  <si>
    <t>2026-01-21</t>
  </si>
  <si>
    <t>mARIA brown</t>
  </si>
  <si>
    <t>56.2 USD</t>
  </si>
  <si>
    <t>#1013</t>
  </si>
  <si>
    <t>February 15, 2026</t>
  </si>
  <si>
    <t>mARIA müller</t>
  </si>
  <si>
    <t>Unit 7, 200 King Rd, Tel:5857595361</t>
  </si>
  <si>
    <t>3pcs</t>
  </si>
  <si>
    <t>81.1 USD</t>
  </si>
  <si>
    <t>INV-1014</t>
  </si>
  <si>
    <t>01/18/2026</t>
  </si>
  <si>
    <t>noah garcía</t>
  </si>
  <si>
    <t>123 main st, apt 4, Tel:4439669410</t>
  </si>
  <si>
    <t>Wireless Mouse</t>
  </si>
  <si>
    <t>77.51</t>
  </si>
  <si>
    <t>#1015</t>
  </si>
  <si>
    <t>01/23/2026</t>
  </si>
  <si>
    <t>82.7</t>
  </si>
  <si>
    <t>#1016</t>
  </si>
  <si>
    <t>27-Jan-2026</t>
  </si>
  <si>
    <t>michael garcía</t>
  </si>
  <si>
    <t>PO Box 12</t>
  </si>
  <si>
    <t>$83.05</t>
  </si>
  <si>
    <t>#1017</t>
  </si>
  <si>
    <t>12-Jan-2026</t>
  </si>
  <si>
    <t>michael brown</t>
  </si>
  <si>
    <t>PO Box 12, Tel:5130192236</t>
  </si>
  <si>
    <t>6pcs</t>
  </si>
  <si>
    <t>$101.41</t>
  </si>
  <si>
    <t>inv1018</t>
  </si>
  <si>
    <t>February 13, 2026</t>
  </si>
  <si>
    <t>7</t>
  </si>
  <si>
    <t>63.43</t>
  </si>
  <si>
    <t>#1019</t>
  </si>
  <si>
    <t>February 28, 2026</t>
  </si>
  <si>
    <t>mARIA lee</t>
  </si>
  <si>
    <t>123 main st, apt 4</t>
  </si>
  <si>
    <t>7.79 USD</t>
  </si>
  <si>
    <t>INV-1020</t>
  </si>
  <si>
    <t>2026-02-25</t>
  </si>
  <si>
    <t>emma garcía</t>
  </si>
  <si>
    <t>Webcam</t>
  </si>
  <si>
    <t>67.64</t>
  </si>
  <si>
    <t>#1021</t>
  </si>
  <si>
    <t>2026-02-28</t>
  </si>
  <si>
    <t>83.7</t>
  </si>
  <si>
    <t>inv1022</t>
  </si>
  <si>
    <t>2026-01-31</t>
  </si>
  <si>
    <t>john johnson</t>
  </si>
  <si>
    <t>$99.71</t>
  </si>
  <si>
    <t>#1023</t>
  </si>
  <si>
    <t>19-Feb-2026</t>
  </si>
  <si>
    <t>michael o'connor</t>
  </si>
  <si>
    <t>56 Elm St, Suite 2, Tel:9017304601</t>
  </si>
  <si>
    <t>117.76</t>
  </si>
  <si>
    <t>inv1024</t>
  </si>
  <si>
    <t>john lee</t>
  </si>
  <si>
    <t>62.12</t>
  </si>
  <si>
    <t>INV-1025</t>
  </si>
  <si>
    <t>January 08, 2026</t>
  </si>
  <si>
    <t>liam khan</t>
  </si>
  <si>
    <t>Monitor 24"</t>
  </si>
  <si>
    <t>54.64</t>
  </si>
  <si>
    <t>inv1026</t>
  </si>
  <si>
    <t>January 21, 2026</t>
  </si>
  <si>
    <t>olivia müller</t>
  </si>
  <si>
    <t>5.96 USD</t>
  </si>
  <si>
    <t>INV-1027</t>
  </si>
  <si>
    <t>23-Jan-2026</t>
  </si>
  <si>
    <t>114.8</t>
  </si>
  <si>
    <t>inv1028</t>
  </si>
  <si>
    <t>2026-01-09</t>
  </si>
  <si>
    <t>alex davis</t>
  </si>
  <si>
    <t>67.03 USD</t>
  </si>
  <si>
    <t>inv1029</t>
  </si>
  <si>
    <t>03/02/2026</t>
  </si>
  <si>
    <t>liam johnson</t>
  </si>
  <si>
    <t>11.05</t>
  </si>
  <si>
    <t>INV-1030</t>
  </si>
  <si>
    <t>January 18, 2026</t>
  </si>
  <si>
    <t>noah lee</t>
  </si>
  <si>
    <t>123 main st, apt 4, Tel:9042449414</t>
  </si>
  <si>
    <t>79.05</t>
  </si>
  <si>
    <t>inv1031</t>
  </si>
  <si>
    <t>2026-02-06</t>
  </si>
  <si>
    <t>chris lee</t>
  </si>
  <si>
    <t>5.86 USD</t>
  </si>
  <si>
    <t>INV-1032</t>
  </si>
  <si>
    <t>08-Feb-2026</t>
  </si>
  <si>
    <t>sophia lee</t>
  </si>
  <si>
    <t>123 main st, apt 4, Tel:8946735722</t>
  </si>
  <si>
    <t>8</t>
  </si>
  <si>
    <t>108.34</t>
  </si>
  <si>
    <t>inv1033</t>
  </si>
  <si>
    <t>February 04, 2026</t>
  </si>
  <si>
    <t>123 main st, apt 4, Tel:6968232911</t>
  </si>
  <si>
    <t>$92.78</t>
  </si>
  <si>
    <t>#1034</t>
  </si>
  <si>
    <t>02/19/2026</t>
  </si>
  <si>
    <t>PO Box 12, Tel:6878484328</t>
  </si>
  <si>
    <t>35.52</t>
  </si>
  <si>
    <t>INV-1035</t>
  </si>
  <si>
    <t>01/02/2026</t>
  </si>
  <si>
    <t>chris müller</t>
  </si>
  <si>
    <t>$11.07</t>
  </si>
  <si>
    <t>#1036</t>
  </si>
  <si>
    <t>February 07, 2026</t>
  </si>
  <si>
    <t>61.37 USD</t>
  </si>
  <si>
    <t>#1037</t>
  </si>
  <si>
    <t>alex johnson</t>
  </si>
  <si>
    <t>3</t>
  </si>
  <si>
    <t>48.56</t>
  </si>
  <si>
    <t>inv1038</t>
  </si>
  <si>
    <t>2026-02-10</t>
  </si>
  <si>
    <t>noah nguyen</t>
  </si>
  <si>
    <t>56 Elm St, Suite 2, Tel:7752395334</t>
  </si>
  <si>
    <t>5.38</t>
  </si>
  <si>
    <t>inv1039</t>
  </si>
  <si>
    <t>02/24/2026</t>
  </si>
  <si>
    <t>john davis</t>
  </si>
  <si>
    <t>8.3</t>
  </si>
  <si>
    <t>inv1040</t>
  </si>
  <si>
    <t>01/06/2026</t>
  </si>
  <si>
    <t>98.14</t>
  </si>
  <si>
    <t>InvoiceID</t>
  </si>
  <si>
    <t>Date (YYYY-MM-DD)</t>
  </si>
  <si>
    <t>CustomerName</t>
  </si>
  <si>
    <t>Address</t>
  </si>
  <si>
    <t>Item</t>
  </si>
  <si>
    <t>Quantity (number)</t>
  </si>
  <si>
    <t>UnitPrice (number)</t>
  </si>
  <si>
    <t>Total (formula)</t>
  </si>
  <si>
    <t>Status (Paid/Unpaid/Refunded)</t>
  </si>
  <si>
    <t>1001</t>
  </si>
  <si>
    <t>Noah Johnson</t>
  </si>
  <si>
    <t>Unpaid</t>
  </si>
  <si>
    <t>INV--1002</t>
  </si>
  <si>
    <t>2026-01-15</t>
  </si>
  <si>
    <t>Emma Lee</t>
  </si>
  <si>
    <t>1003</t>
  </si>
  <si>
    <t>Michael Lee</t>
  </si>
  <si>
    <t>Paid</t>
  </si>
  <si>
    <t>INV-1004</t>
  </si>
  <si>
    <t>2026-01-30</t>
  </si>
  <si>
    <t>Emma Smith</t>
  </si>
  <si>
    <t>56 Elm St, Suite 2,  tel:8084237159</t>
  </si>
  <si>
    <t>Refunded</t>
  </si>
  <si>
    <t>INV--1005</t>
  </si>
  <si>
    <t>Sophia Brown</t>
  </si>
  <si>
    <t>INV-1006</t>
  </si>
  <si>
    <t>Emma Brown</t>
  </si>
  <si>
    <t>PO Box 12,  tel:8791690661</t>
  </si>
  <si>
    <t>INV-1007</t>
  </si>
  <si>
    <t>Alex O'connor</t>
  </si>
  <si>
    <t>INV--1008</t>
  </si>
  <si>
    <t>2026-01-13</t>
  </si>
  <si>
    <t>Olivia Davis</t>
  </si>
  <si>
    <t>INV--1009</t>
  </si>
  <si>
    <t>Liam O'connor</t>
  </si>
  <si>
    <t>PO Box 12,  tel:5296472699</t>
  </si>
  <si>
    <t>INV-1010</t>
  </si>
  <si>
    <t>2026-01-11</t>
  </si>
  <si>
    <t>Michael Davis</t>
  </si>
  <si>
    <t>INV-1011</t>
  </si>
  <si>
    <t>Alex Lee</t>
  </si>
  <si>
    <t>1012</t>
  </si>
  <si>
    <t>Maria Brown</t>
  </si>
  <si>
    <t>1013</t>
  </si>
  <si>
    <t>2026-02-15</t>
  </si>
  <si>
    <t>Maria Müller</t>
  </si>
  <si>
    <t>Unit 7, 200 King Rd,  tel:5857595361</t>
  </si>
  <si>
    <t>INV--1014</t>
  </si>
  <si>
    <t>Noah García</t>
  </si>
  <si>
    <t>123 main st, apt 4,  tel:4439669410</t>
  </si>
  <si>
    <t>1015</t>
  </si>
  <si>
    <t>2026-01-23</t>
  </si>
  <si>
    <t>1016</t>
  </si>
  <si>
    <t>2026-01-27</t>
  </si>
  <si>
    <t>Michael García</t>
  </si>
  <si>
    <t>1017</t>
  </si>
  <si>
    <t>2026-01-12</t>
  </si>
  <si>
    <t>Michael Brown</t>
  </si>
  <si>
    <t>PO Box 12,  tel:5130192236</t>
  </si>
  <si>
    <t>INV-1018</t>
  </si>
  <si>
    <t>2026-02-13</t>
  </si>
  <si>
    <t>1019</t>
  </si>
  <si>
    <t>Maria Lee</t>
  </si>
  <si>
    <t>INV--1020</t>
  </si>
  <si>
    <t>Emma García</t>
  </si>
  <si>
    <t>1021</t>
  </si>
  <si>
    <t>INV-1022</t>
  </si>
  <si>
    <t>John Johnson</t>
  </si>
  <si>
    <t>1023</t>
  </si>
  <si>
    <t>2026-02-19</t>
  </si>
  <si>
    <t>Michael O'connor</t>
  </si>
  <si>
    <t>56 Elm St, Suite 2,  tel:9017304601</t>
  </si>
  <si>
    <t>INV-1024</t>
  </si>
  <si>
    <t>John Lee</t>
  </si>
  <si>
    <t>INV--1025</t>
  </si>
  <si>
    <t>2026-01-08</t>
  </si>
  <si>
    <t>Liam Khan</t>
  </si>
  <si>
    <t>INV-1026</t>
  </si>
  <si>
    <t>Olivia Müller</t>
  </si>
  <si>
    <t>INV--1027</t>
  </si>
  <si>
    <t>INV-1028</t>
  </si>
  <si>
    <t>Alex Davis</t>
  </si>
  <si>
    <t>INV-1029</t>
  </si>
  <si>
    <t>2026-03-02</t>
  </si>
  <si>
    <t>Liam Johnson</t>
  </si>
  <si>
    <t>INV--1030</t>
  </si>
  <si>
    <t>Noah Lee</t>
  </si>
  <si>
    <t>123 main st, apt 4,  tel:9042449414</t>
  </si>
  <si>
    <t>INV-1031</t>
  </si>
  <si>
    <t>Chris Lee</t>
  </si>
  <si>
    <t>INV--1032</t>
  </si>
  <si>
    <t>2026-02-08</t>
  </si>
  <si>
    <t>Sophia Lee</t>
  </si>
  <si>
    <t>123 main st, apt 4,  tel:8946735722</t>
  </si>
  <si>
    <t>INV-1033</t>
  </si>
  <si>
    <t>2026-02-04</t>
  </si>
  <si>
    <t>123 main st, apt 4,  tel:6968232911</t>
  </si>
  <si>
    <t>1034</t>
  </si>
  <si>
    <t>PO Box 12,  tel:6878484328</t>
  </si>
  <si>
    <t>INV--1035</t>
  </si>
  <si>
    <t>2026-01-02</t>
  </si>
  <si>
    <t>Chris Müller</t>
  </si>
  <si>
    <t>1036</t>
  </si>
  <si>
    <t>2026-02-07</t>
  </si>
  <si>
    <t>1037</t>
  </si>
  <si>
    <t>Alex Johnson</t>
  </si>
  <si>
    <t>INV-1038</t>
  </si>
  <si>
    <t>Noah Nguyen</t>
  </si>
  <si>
    <t>56 Elm St, Suite 2,  tel:7752395334</t>
  </si>
  <si>
    <t>INV-1039</t>
  </si>
  <si>
    <t>2026-02-24</t>
  </si>
  <si>
    <t>John Davis</t>
  </si>
  <si>
    <t>INV-1040</t>
  </si>
  <si>
    <t>2026-01-06</t>
  </si>
  <si>
    <t xml:space="preserve"> </t>
  </si>
  <si>
    <t>Row Labels</t>
  </si>
  <si>
    <t>Grand Total</t>
  </si>
  <si>
    <t>Sum of Quantity (number)</t>
  </si>
  <si>
    <t>Sum of UnitPrice (number)</t>
  </si>
  <si>
    <t>Item-Wise Total Quantity</t>
  </si>
  <si>
    <t>Total Unit Price by Item</t>
  </si>
  <si>
    <t>Data Provided by the Client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</si>
</sst>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5" formatCode="&quot;$&quot;#,##0.00"/>
  </numFmts>
  <fonts count="6" x14ac:knownFonts="1">
    <font>
      <sz val="11"/>
      <color theme="1"/>
      <name val="Calibri"/>
      <family val="2"/>
      <scheme val="minor"/>
    </font>
    <font>
      <b/>
      <sz val="11"/>
      <name val="Calibri"/>
    </font>
    <font>
      <sz val="11"/>
      <color theme="1"/>
      <name val="Calibri"/>
      <family val="2"/>
      <scheme val="minor"/>
    </font>
    <font>
      <b/>
      <i/>
      <sz val="20"/>
      <color theme="1"/>
      <name val="Calibri"/>
      <family val="2"/>
      <scheme val="minor"/>
    </font>
    <font>
      <b/>
      <i/>
      <sz val="22"/>
      <color theme="1"/>
      <name val="Calibri"/>
      <family val="2"/>
      <scheme val="minor"/>
    </font>
    <font>
      <b/>
      <i/>
      <sz val="2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4" fontId="2"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xf numFmtId="0" fontId="0" fillId="0" borderId="0" xfId="0" applyAlignment="1">
      <alignment horizontal="center" vertical="top" wrapText="1"/>
    </xf>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1" fontId="1" fillId="2" borderId="5" xfId="0" applyNumberFormat="1" applyFont="1" applyFill="1" applyBorder="1" applyAlignment="1">
      <alignment horizontal="center" vertical="center"/>
    </xf>
    <xf numFmtId="1" fontId="0" fillId="0" borderId="1" xfId="0" applyNumberFormat="1" applyBorder="1" applyAlignment="1">
      <alignment horizontal="right" vertical="center"/>
    </xf>
    <xf numFmtId="1" fontId="0" fillId="0" borderId="8" xfId="0" applyNumberFormat="1" applyBorder="1" applyAlignment="1">
      <alignment horizontal="right" vertical="center"/>
    </xf>
    <xf numFmtId="1" fontId="0" fillId="0" borderId="0" xfId="0" applyNumberFormat="1" applyAlignment="1"/>
    <xf numFmtId="165" fontId="1" fillId="2" borderId="5" xfId="0" applyNumberFormat="1" applyFont="1" applyFill="1" applyBorder="1" applyAlignment="1">
      <alignment horizontal="center" vertical="center"/>
    </xf>
    <xf numFmtId="165" fontId="0" fillId="0" borderId="1" xfId="0" applyNumberFormat="1" applyBorder="1" applyAlignment="1">
      <alignment horizontal="right" vertical="center"/>
    </xf>
    <xf numFmtId="165" fontId="0" fillId="0" borderId="8" xfId="0" applyNumberFormat="1" applyBorder="1" applyAlignment="1">
      <alignment horizontal="right" vertical="center"/>
    </xf>
    <xf numFmtId="165" fontId="0" fillId="0" borderId="0" xfId="0" applyNumberFormat="1" applyAlignment="1"/>
    <xf numFmtId="44" fontId="0" fillId="0" borderId="1" xfId="1" applyFont="1" applyBorder="1" applyAlignment="1">
      <alignment horizontal="right" vertical="center"/>
    </xf>
    <xf numFmtId="44" fontId="0" fillId="0" borderId="8" xfId="1" applyFont="1" applyBorder="1" applyAlignment="1">
      <alignment horizontal="right"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3" fillId="3" borderId="1" xfId="0" applyFont="1" applyFill="1" applyBorder="1"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wrapText="1"/>
    </xf>
    <xf numFmtId="0" fontId="5" fillId="5" borderId="1" xfId="0" applyFont="1" applyFill="1" applyBorder="1" applyAlignment="1">
      <alignment horizontal="center" vertical="center"/>
    </xf>
  </cellXfs>
  <cellStyles count="2">
    <cellStyle name="Currency" xfId="1" builtinId="4"/>
    <cellStyle name="Normal" xfId="0" builtinId="0"/>
  </cellStyles>
  <dxfs count="15">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5" formatCode="&quot;$&quot;#,##0.00"/>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righ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general"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[60_usd_data_entry_job.xlsx]Sheet1!PivotTable1</c:name>
    <c:fmtId val="0"/>
  </c:pivotSource>
  <c:chart>
    <c:title>
      <c:layout/>
      <c:overlay val="0"/>
    </c:title>
    <c:autoTitleDeleted val="0"/>
    <c:pivotFmts>
      <c:pivotFmt>
        <c:idx val="0"/>
      </c:pivotFmt>
    </c:pivotFmts>
    <c:plotArea>
      <c:layout/>
      <c:barChart>
        <c:barDir val="col"/>
        <c:grouping val="clustered"/>
        <c:varyColors val="0"/>
        <c:ser>
          <c:idx val="0"/>
          <c:order val="0"/>
          <c:tx>
            <c:strRef>
              <c:f>Sheet1!$B$1</c:f>
              <c:strCache>
                <c:ptCount val="1"/>
                <c:pt idx="0">
                  <c:v>Total</c:v>
                </c:pt>
              </c:strCache>
            </c:strRef>
          </c:tx>
          <c:invertIfNegative val="0"/>
          <c:cat>
            <c:strRef>
              <c:f>Sheet1!$A$2:$A$10</c:f>
              <c:strCache>
                <c:ptCount val="8"/>
                <c:pt idx="0">
                  <c:v>Bluetooth Headset</c:v>
                </c:pt>
                <c:pt idx="1">
                  <c:v>Desk Lamp</c:v>
                </c:pt>
                <c:pt idx="2">
                  <c:v>Keyboard</c:v>
                </c:pt>
                <c:pt idx="3">
                  <c:v>Laptop Stand</c:v>
                </c:pt>
                <c:pt idx="4">
                  <c:v>Monitor 24"</c:v>
                </c:pt>
                <c:pt idx="5">
                  <c:v>USB-C Cable</c:v>
                </c:pt>
                <c:pt idx="6">
                  <c:v>Webcam</c:v>
                </c:pt>
                <c:pt idx="7">
                  <c:v>Wireless Mouse</c:v>
                </c:pt>
              </c:strCache>
            </c:strRef>
          </c:cat>
          <c:val>
            <c:numRef>
              <c:f>Sheet1!$B$2:$B$10</c:f>
              <c:numCache>
                <c:formatCode>General</c:formatCode>
                <c:ptCount val="8"/>
                <c:pt idx="0">
                  <c:v>12</c:v>
                </c:pt>
                <c:pt idx="1">
                  <c:v>35</c:v>
                </c:pt>
                <c:pt idx="2">
                  <c:v>33</c:v>
                </c:pt>
                <c:pt idx="3">
                  <c:v>11</c:v>
                </c:pt>
                <c:pt idx="4">
                  <c:v>12</c:v>
                </c:pt>
                <c:pt idx="5">
                  <c:v>26</c:v>
                </c:pt>
                <c:pt idx="6">
                  <c:v>11</c:v>
                </c:pt>
                <c:pt idx="7">
                  <c:v>5</c:v>
                </c:pt>
              </c:numCache>
            </c:numRef>
          </c:val>
        </c:ser>
        <c:dLbls>
          <c:showLegendKey val="0"/>
          <c:showVal val="0"/>
          <c:showCatName val="0"/>
          <c:showSerName val="0"/>
          <c:showPercent val="0"/>
          <c:showBubbleSize val="0"/>
        </c:dLbls>
        <c:gapWidth val="150"/>
        <c:axId val="48315392"/>
        <c:axId val="48321280"/>
      </c:barChart>
      <c:catAx>
        <c:axId val="48315392"/>
        <c:scaling>
          <c:orientation val="minMax"/>
        </c:scaling>
        <c:delete val="0"/>
        <c:axPos val="b"/>
        <c:majorTickMark val="none"/>
        <c:minorTickMark val="none"/>
        <c:tickLblPos val="nextTo"/>
        <c:crossAx val="48321280"/>
        <c:crosses val="autoZero"/>
        <c:auto val="1"/>
        <c:lblAlgn val="ctr"/>
        <c:lblOffset val="100"/>
        <c:noMultiLvlLbl val="0"/>
      </c:catAx>
      <c:valAx>
        <c:axId val="48321280"/>
        <c:scaling>
          <c:orientation val="minMax"/>
        </c:scaling>
        <c:delete val="0"/>
        <c:axPos val="l"/>
        <c:majorGridlines/>
        <c:numFmt formatCode="General" sourceLinked="1"/>
        <c:majorTickMark val="none"/>
        <c:minorTickMark val="none"/>
        <c:tickLblPos val="nextTo"/>
        <c:crossAx val="483153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[60_usd_data_entry_job.xlsx]Sheet2!PivotTable2</c:name>
    <c:fmtId val="0"/>
  </c:pivotSource>
  <c:chart>
    <c:title>
      <c:layout/>
      <c:overlay val="0"/>
    </c:title>
    <c:autoTitleDeleted val="0"/>
    <c:pivotFmts>
      <c:pivotFmt>
        <c:idx val="0"/>
      </c:pivotFmt>
    </c:pivotFmts>
    <c:plotArea>
      <c:layout/>
      <c:barChart>
        <c:barDir val="col"/>
        <c:grouping val="clustered"/>
        <c:varyColors val="0"/>
        <c:ser>
          <c:idx val="0"/>
          <c:order val="0"/>
          <c:tx>
            <c:strRef>
              <c:f>Sheet2!$B$1</c:f>
              <c:strCache>
                <c:ptCount val="1"/>
                <c:pt idx="0">
                  <c:v>Total</c:v>
                </c:pt>
              </c:strCache>
            </c:strRef>
          </c:tx>
          <c:invertIfNegative val="0"/>
          <c:cat>
            <c:strRef>
              <c:f>Sheet2!$A$2:$A$10</c:f>
              <c:strCache>
                <c:ptCount val="8"/>
                <c:pt idx="0">
                  <c:v>Bluetooth Headset</c:v>
                </c:pt>
                <c:pt idx="1">
                  <c:v>Desk Lamp</c:v>
                </c:pt>
                <c:pt idx="2">
                  <c:v>Keyboard</c:v>
                </c:pt>
                <c:pt idx="3">
                  <c:v>Laptop Stand</c:v>
                </c:pt>
                <c:pt idx="4">
                  <c:v>Monitor 24"</c:v>
                </c:pt>
                <c:pt idx="5">
                  <c:v>USB-C Cable</c:v>
                </c:pt>
                <c:pt idx="6">
                  <c:v>Webcam</c:v>
                </c:pt>
                <c:pt idx="7">
                  <c:v>Wireless Mouse</c:v>
                </c:pt>
              </c:strCache>
            </c:strRef>
          </c:cat>
          <c:val>
            <c:numRef>
              <c:f>Sheet2!$B$2:$B$10</c:f>
              <c:numCache>
                <c:formatCode>General</c:formatCode>
                <c:ptCount val="8"/>
                <c:pt idx="0">
                  <c:v>305.3</c:v>
                </c:pt>
                <c:pt idx="1">
                  <c:v>313.33999999999997</c:v>
                </c:pt>
                <c:pt idx="2">
                  <c:v>567.28</c:v>
                </c:pt>
                <c:pt idx="3">
                  <c:v>277.27999999999997</c:v>
                </c:pt>
                <c:pt idx="4">
                  <c:v>158.47</c:v>
                </c:pt>
                <c:pt idx="5">
                  <c:v>486.90999999999997</c:v>
                </c:pt>
                <c:pt idx="6">
                  <c:v>196.04000000000002</c:v>
                </c:pt>
                <c:pt idx="7">
                  <c:v>161.21</c:v>
                </c:pt>
              </c:numCache>
            </c:numRef>
          </c:val>
        </c:ser>
        <c:dLbls>
          <c:showLegendKey val="0"/>
          <c:showVal val="0"/>
          <c:showCatName val="0"/>
          <c:showSerName val="0"/>
          <c:showPercent val="0"/>
          <c:showBubbleSize val="0"/>
        </c:dLbls>
        <c:gapWidth val="150"/>
        <c:axId val="143640064"/>
        <c:axId val="143641600"/>
      </c:barChart>
      <c:catAx>
        <c:axId val="143640064"/>
        <c:scaling>
          <c:orientation val="minMax"/>
        </c:scaling>
        <c:delete val="0"/>
        <c:axPos val="b"/>
        <c:majorTickMark val="out"/>
        <c:minorTickMark val="none"/>
        <c:tickLblPos val="nextTo"/>
        <c:crossAx val="143641600"/>
        <c:crosses val="autoZero"/>
        <c:auto val="1"/>
        <c:lblAlgn val="ctr"/>
        <c:lblOffset val="100"/>
        <c:noMultiLvlLbl val="0"/>
      </c:catAx>
      <c:valAx>
        <c:axId val="143641600"/>
        <c:scaling>
          <c:orientation val="minMax"/>
        </c:scaling>
        <c:delete val="0"/>
        <c:axPos val="l"/>
        <c:majorGridlines/>
        <c:numFmt formatCode="General" sourceLinked="1"/>
        <c:majorTickMark val="out"/>
        <c:minorTickMark val="none"/>
        <c:tickLblPos val="nextTo"/>
        <c:crossAx val="1436400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31750</xdr:rowOff>
    </xdr:from>
    <xdr:to>
      <xdr:col>4</xdr:col>
      <xdr:colOff>596900</xdr:colOff>
      <xdr:row>26</xdr:row>
      <xdr:rowOff>12700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6350</xdr:rowOff>
    </xdr:from>
    <xdr:to>
      <xdr:col>4</xdr:col>
      <xdr:colOff>577850</xdr:colOff>
      <xdr:row>25</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097.240905092593" createdVersion="4" refreshedVersion="4" minRefreshableVersion="3" recordCount="40">
  <cacheSource type="worksheet">
    <worksheetSource name="Table1"/>
  </cacheSource>
  <cacheFields count="10">
    <cacheField name="InvoiceID" numFmtId="0">
      <sharedItems/>
    </cacheField>
    <cacheField name="Date (YYYY-MM-DD)" numFmtId="0">
      <sharedItems count="30">
        <s v="2026-01-05"/>
        <s v="2026-01-15"/>
        <s v="2026-01-24"/>
        <s v="2026-01-30"/>
        <s v="2026-01-09"/>
        <s v="2026-02-09"/>
        <s v="2026-01-18"/>
        <s v="2026-01-13"/>
        <s v="2026-02-03"/>
        <s v="2026-01-11"/>
        <s v="2026-01-21"/>
        <s v="2026-02-15"/>
        <s v="2026-01-23"/>
        <s v="2026-01-27"/>
        <s v="2026-01-12"/>
        <s v="2026-02-13"/>
        <s v="2026-02-28"/>
        <s v="2026-02-25"/>
        <s v="2026-01-31"/>
        <s v="2026-02-19"/>
        <s v="2026-01-08"/>
        <s v="2026-03-02"/>
        <s v="2026-02-06"/>
        <s v="2026-02-08"/>
        <s v="2026-02-04"/>
        <s v="2026-01-02"/>
        <s v="2026-02-07"/>
        <s v="2026-02-10"/>
        <s v="2026-02-24"/>
        <s v="2026-01-06"/>
      </sharedItems>
    </cacheField>
    <cacheField name="CustomerName" numFmtId="0">
      <sharedItems count="32">
        <s v="Noah Johnson"/>
        <s v="Emma Lee"/>
        <s v="Michael Lee"/>
        <s v="Emma Smith"/>
        <s v="Sophia Brown"/>
        <s v="Emma Brown"/>
        <s v="Alex O'connor"/>
        <s v="Olivia Davis"/>
        <s v="Liam O'connor"/>
        <s v="Michael Davis"/>
        <s v="Alex Lee"/>
        <s v="Maria Brown"/>
        <s v="Maria Müller"/>
        <s v="Noah García"/>
        <s v="Michael García"/>
        <s v="Michael Brown"/>
        <s v="Maria Lee"/>
        <s v="Emma García"/>
        <s v="John Johnson"/>
        <s v="Michael O'connor"/>
        <s v="John Lee"/>
        <s v="Liam Khan"/>
        <s v="Olivia Müller"/>
        <s v="Alex Davis"/>
        <s v="Liam Johnson"/>
        <s v="Noah Lee"/>
        <s v="Chris Lee"/>
        <s v="Sophia Lee"/>
        <s v="Chris Müller"/>
        <s v="Alex Johnson"/>
        <s v="Noah Nguyen"/>
        <s v="John Davis"/>
      </sharedItems>
    </cacheField>
    <cacheField name="Address" numFmtId="0">
      <sharedItems count="17">
        <s v="56 Elm St, Suite 2"/>
        <s v="56 Elm St, Suite 2,  tel:8084237159"/>
        <s v="45B Baker St."/>
        <s v="PO Box 12,  tel:8791690661"/>
        <s v="PO Box 12,  tel:5296472699"/>
        <s v="Unit 7, 200 King Rd"/>
        <s v="Unit 7, 200 King Rd,  tel:5857595361"/>
        <s v="123 main st, apt 4,  tel:4439669410"/>
        <s v="PO Box 12"/>
        <s v="PO Box 12,  tel:5130192236"/>
        <s v="123 main st, apt 4"/>
        <s v="56 Elm St, Suite 2,  tel:9017304601"/>
        <s v="123 main st, apt 4,  tel:9042449414"/>
        <s v="123 main st, apt 4,  tel:8946735722"/>
        <s v="123 main st, apt 4,  tel:6968232911"/>
        <s v="PO Box 12,  tel:6878484328"/>
        <s v="56 Elm St, Suite 2,  tel:7752395334"/>
      </sharedItems>
    </cacheField>
    <cacheField name="Item" numFmtId="0">
      <sharedItems count="8">
        <s v="Laptop Stand"/>
        <s v="USB-C Cable"/>
        <s v="Keyboard"/>
        <s v="Desk Lamp"/>
        <s v="Bluetooth Headset"/>
        <s v="Wireless Mouse"/>
        <s v="Webcam"/>
        <s v="Monitor 24&quot;"/>
      </sharedItems>
    </cacheField>
    <cacheField name="Quantity (number)" numFmtId="1">
      <sharedItems containsSemiMixedTypes="0" containsString="0" containsNumber="1" containsInteger="1" minValue="1" maxValue="10" count="9">
        <n v="3"/>
        <n v="4"/>
        <n v="2"/>
        <n v="1"/>
        <n v="6"/>
        <n v="10"/>
        <n v="5"/>
        <n v="7"/>
        <n v="8"/>
      </sharedItems>
    </cacheField>
    <cacheField name="UnitPrice (number)" numFmtId="165">
      <sharedItems containsSemiMixedTypes="0" containsString="0" containsNumber="1" minValue="5.38" maxValue="117.76"/>
    </cacheField>
    <cacheField name="Total (formula)" numFmtId="44">
      <sharedItems containsMixedTypes="1" containsNumber="1" minValue="10.76" maxValue="866.72"/>
    </cacheField>
    <cacheField name="Status (Paid/Unpaid/Refunded)" numFmtId="0">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
  <r>
    <s v="1001"/>
    <x v="0"/>
    <x v="0"/>
    <x v="0"/>
    <x v="0"/>
    <x v="0"/>
    <n v="100.36"/>
    <n v="301.08"/>
    <s v="Unpaid"/>
    <s v="leave at front desk"/>
  </r>
  <r>
    <s v="INV--1002"/>
    <x v="1"/>
    <x v="1"/>
    <x v="0"/>
    <x v="1"/>
    <x v="1"/>
    <n v="9.0299999999999994"/>
    <n v="36.119999999999997"/>
    <s v="Unpaid"/>
    <s v="repeat customer"/>
  </r>
  <r>
    <s v="1003"/>
    <x v="2"/>
    <x v="2"/>
    <x v="0"/>
    <x v="2"/>
    <x v="2"/>
    <n v="48.87"/>
    <n v="97.74"/>
    <s v="Paid"/>
    <s v="email invoice"/>
  </r>
  <r>
    <s v="INV-1004"/>
    <x v="3"/>
    <x v="3"/>
    <x v="1"/>
    <x v="1"/>
    <x v="3"/>
    <n v="70.11"/>
    <n v="70.11"/>
    <s v="Refunded"/>
    <s v="email invoice"/>
  </r>
  <r>
    <s v="INV--1005"/>
    <x v="4"/>
    <x v="4"/>
    <x v="2"/>
    <x v="3"/>
    <x v="4"/>
    <n v="117.41"/>
    <n v="704.46"/>
    <s v="Unpaid"/>
    <m/>
  </r>
  <r>
    <s v="INV-1006"/>
    <x v="5"/>
    <x v="5"/>
    <x v="3"/>
    <x v="3"/>
    <x v="3"/>
    <n v="44.01"/>
    <n v="44.01"/>
    <s v="Unpaid"/>
    <s v="leave at front desk"/>
  </r>
  <r>
    <s v="INV-1007"/>
    <x v="6"/>
    <x v="6"/>
    <x v="0"/>
    <x v="3"/>
    <x v="5"/>
    <n v="20.8"/>
    <n v="208"/>
    <s v="Refunded"/>
    <s v="email invoice"/>
  </r>
  <r>
    <s v="INV--1008"/>
    <x v="7"/>
    <x v="7"/>
    <x v="0"/>
    <x v="2"/>
    <x v="6"/>
    <n v="15.41"/>
    <n v="77.05"/>
    <s v="Unpaid"/>
    <s v="leave at front desk"/>
  </r>
  <r>
    <s v="INV--1009"/>
    <x v="8"/>
    <x v="8"/>
    <x v="4"/>
    <x v="4"/>
    <x v="0"/>
    <n v="34.020000000000003"/>
    <n v="102.06"/>
    <s v="Unpaid"/>
    <s v="call before delivery"/>
  </r>
  <r>
    <s v="INV-1010"/>
    <x v="9"/>
    <x v="9"/>
    <x v="5"/>
    <x v="1"/>
    <x v="2"/>
    <n v="106.71"/>
    <s v=" "/>
    <s v="Unpaid"/>
    <s v="call before delivery"/>
  </r>
  <r>
    <s v="INV-1011"/>
    <x v="4"/>
    <x v="10"/>
    <x v="5"/>
    <x v="4"/>
    <x v="0"/>
    <n v="107.13"/>
    <n v="321.39"/>
    <s v="Refunded"/>
    <s v="repeat customer"/>
  </r>
  <r>
    <s v="1012"/>
    <x v="10"/>
    <x v="11"/>
    <x v="2"/>
    <x v="1"/>
    <x v="3"/>
    <n v="56.2"/>
    <n v="56.2"/>
    <s v="Unpaid"/>
    <s v="leave at front desk"/>
  </r>
  <r>
    <s v="1013"/>
    <x v="11"/>
    <x v="12"/>
    <x v="6"/>
    <x v="4"/>
    <x v="0"/>
    <n v="81.099999999999994"/>
    <n v="243.3"/>
    <s v="Paid"/>
    <s v="leave at front desk"/>
  </r>
  <r>
    <s v="INV--1014"/>
    <x v="6"/>
    <x v="13"/>
    <x v="7"/>
    <x v="5"/>
    <x v="2"/>
    <n v="77.510000000000005"/>
    <n v="155.02000000000001"/>
    <s v="Paid"/>
    <s v="email invoice"/>
  </r>
  <r>
    <s v="1015"/>
    <x v="12"/>
    <x v="2"/>
    <x v="2"/>
    <x v="1"/>
    <x v="2"/>
    <n v="82.7"/>
    <n v="165.4"/>
    <s v="Unpaid"/>
    <s v="leave at front desk"/>
  </r>
  <r>
    <s v="1016"/>
    <x v="13"/>
    <x v="14"/>
    <x v="8"/>
    <x v="4"/>
    <x v="0"/>
    <n v="83.05"/>
    <n v="249.15"/>
    <s v="Paid"/>
    <s v="email invoice"/>
  </r>
  <r>
    <s v="1017"/>
    <x v="14"/>
    <x v="15"/>
    <x v="9"/>
    <x v="1"/>
    <x v="4"/>
    <n v="101.41"/>
    <n v="608.46"/>
    <s v="Unpaid"/>
    <s v="leave at front desk"/>
  </r>
  <r>
    <s v="INV-1018"/>
    <x v="15"/>
    <x v="6"/>
    <x v="8"/>
    <x v="3"/>
    <x v="7"/>
    <n v="63.43"/>
    <n v="444.01"/>
    <s v="Unpaid"/>
    <s v="email invoice"/>
  </r>
  <r>
    <s v="1019"/>
    <x v="16"/>
    <x v="16"/>
    <x v="10"/>
    <x v="3"/>
    <x v="0"/>
    <n v="7.79"/>
    <n v="23.37"/>
    <s v="Paid"/>
    <m/>
  </r>
  <r>
    <s v="INV--1020"/>
    <x v="17"/>
    <x v="17"/>
    <x v="0"/>
    <x v="6"/>
    <x v="0"/>
    <n v="67.64"/>
    <n v="202.92"/>
    <s v="Refunded"/>
    <s v="email invoice"/>
  </r>
  <r>
    <s v="1021"/>
    <x v="16"/>
    <x v="3"/>
    <x v="10"/>
    <x v="5"/>
    <x v="0"/>
    <n v="83.7"/>
    <n v="251.1"/>
    <s v="Refunded"/>
    <m/>
  </r>
  <r>
    <s v="INV-1022"/>
    <x v="18"/>
    <x v="18"/>
    <x v="5"/>
    <x v="2"/>
    <x v="0"/>
    <n v="99.71"/>
    <n v="299.13"/>
    <s v="Refunded"/>
    <s v="call before delivery"/>
  </r>
  <r>
    <s v="1023"/>
    <x v="19"/>
    <x v="19"/>
    <x v="11"/>
    <x v="2"/>
    <x v="6"/>
    <n v="117.76"/>
    <n v="588.79999999999995"/>
    <s v="Unpaid"/>
    <m/>
  </r>
  <r>
    <s v="INV-1024"/>
    <x v="14"/>
    <x v="20"/>
    <x v="0"/>
    <x v="0"/>
    <x v="6"/>
    <n v="62.12"/>
    <n v="310.60000000000002"/>
    <s v="Refunded"/>
    <s v="email invoice"/>
  </r>
  <r>
    <s v="INV--1025"/>
    <x v="20"/>
    <x v="21"/>
    <x v="10"/>
    <x v="7"/>
    <x v="6"/>
    <n v="54.64"/>
    <n v="273.2"/>
    <s v="Unpaid"/>
    <s v="leave at front desk"/>
  </r>
  <r>
    <s v="INV-1026"/>
    <x v="10"/>
    <x v="22"/>
    <x v="5"/>
    <x v="3"/>
    <x v="0"/>
    <n v="5.96"/>
    <n v="17.88"/>
    <s v="Paid"/>
    <s v="leave at front desk"/>
  </r>
  <r>
    <s v="INV--1027"/>
    <x v="12"/>
    <x v="16"/>
    <x v="2"/>
    <x v="0"/>
    <x v="0"/>
    <n v="114.8"/>
    <n v="344.4"/>
    <s v="Paid"/>
    <s v="email invoice"/>
  </r>
  <r>
    <s v="INV-1028"/>
    <x v="4"/>
    <x v="23"/>
    <x v="5"/>
    <x v="6"/>
    <x v="0"/>
    <n v="67.03"/>
    <n v="201.09"/>
    <s v="Paid"/>
    <s v="email invoice"/>
  </r>
  <r>
    <s v="INV-1029"/>
    <x v="21"/>
    <x v="24"/>
    <x v="8"/>
    <x v="7"/>
    <x v="2"/>
    <n v="11.05"/>
    <n v="22.1"/>
    <s v="Unpaid"/>
    <s v="leave at front desk"/>
  </r>
  <r>
    <s v="INV--1030"/>
    <x v="6"/>
    <x v="25"/>
    <x v="12"/>
    <x v="2"/>
    <x v="2"/>
    <n v="79.05"/>
    <n v="158.1"/>
    <s v="Paid"/>
    <s v="call before delivery"/>
  </r>
  <r>
    <s v="INV-1031"/>
    <x v="22"/>
    <x v="26"/>
    <x v="5"/>
    <x v="1"/>
    <x v="0"/>
    <n v="5.86"/>
    <n v="17.579999999999998"/>
    <s v="Refunded"/>
    <s v="leave at front desk"/>
  </r>
  <r>
    <s v="INV--1032"/>
    <x v="23"/>
    <x v="27"/>
    <x v="13"/>
    <x v="2"/>
    <x v="8"/>
    <n v="108.34"/>
    <n v="866.72"/>
    <s v="Refunded"/>
    <s v="email invoice"/>
  </r>
  <r>
    <s v="INV-1033"/>
    <x v="24"/>
    <x v="6"/>
    <x v="14"/>
    <x v="7"/>
    <x v="6"/>
    <n v="92.78"/>
    <n v="463.9"/>
    <s v="Paid"/>
    <s v="leave at front desk"/>
  </r>
  <r>
    <s v="1034"/>
    <x v="19"/>
    <x v="12"/>
    <x v="15"/>
    <x v="1"/>
    <x v="2"/>
    <n v="35.520000000000003"/>
    <n v="71.040000000000006"/>
    <s v="Refunded"/>
    <s v="call before delivery"/>
  </r>
  <r>
    <s v="INV--1035"/>
    <x v="25"/>
    <x v="28"/>
    <x v="2"/>
    <x v="1"/>
    <x v="0"/>
    <n v="11.07"/>
    <n v="33.21"/>
    <s v="Unpaid"/>
    <s v="call before delivery"/>
  </r>
  <r>
    <s v="1036"/>
    <x v="26"/>
    <x v="27"/>
    <x v="5"/>
    <x v="6"/>
    <x v="6"/>
    <n v="61.37"/>
    <n v="306.85000000000002"/>
    <s v="Unpaid"/>
    <s v="email invoice"/>
  </r>
  <r>
    <s v="1037"/>
    <x v="4"/>
    <x v="29"/>
    <x v="8"/>
    <x v="3"/>
    <x v="0"/>
    <n v="48.56"/>
    <n v="145.68"/>
    <s v="Paid"/>
    <s v="repeat customer"/>
  </r>
  <r>
    <s v="INV-1038"/>
    <x v="27"/>
    <x v="30"/>
    <x v="16"/>
    <x v="3"/>
    <x v="2"/>
    <n v="5.38"/>
    <n v="10.76"/>
    <s v="Unpaid"/>
    <s v="email invoice"/>
  </r>
  <r>
    <s v="INV-1039"/>
    <x v="28"/>
    <x v="31"/>
    <x v="2"/>
    <x v="1"/>
    <x v="2"/>
    <n v="8.3000000000000007"/>
    <n v="16.600000000000001"/>
    <s v="Paid"/>
    <m/>
  </r>
  <r>
    <s v="INV-1040"/>
    <x v="29"/>
    <x v="5"/>
    <x v="2"/>
    <x v="2"/>
    <x v="8"/>
    <n v="98.14"/>
    <n v="785.12"/>
    <s v="Refunded"/>
    <s v="call before delive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4" minRefreshableVersion="3" useAutoFormatting="1" itemPrintTitles="1" createdVersion="4" indent="0" compact="0" outline="1" outlineData="1" compactData="0" multipleFieldFilters="0" chartFormat="1">
  <location ref="A1:B10" firstHeaderRow="1" firstDataRow="1" firstDataCol="1"/>
  <pivotFields count="10">
    <pivotField compact="0" showAll="0" insertBlankRow="1">
      <extLst>
        <ext xmlns:x14="http://schemas.microsoft.com/office/spreadsheetml/2009/9/main" uri="{2946ED86-A175-432a-8AC1-64E0C546D7DE}">
          <x14:pivotField fillDownLabels="1"/>
        </ext>
      </extLst>
    </pivotField>
    <pivotField compact="0" showAll="0" insertBlankRow="1">
      <extLst>
        <ext xmlns:x14="http://schemas.microsoft.com/office/spreadsheetml/2009/9/main" uri="{2946ED86-A175-432a-8AC1-64E0C546D7DE}">
          <x14:pivotField fillDownLabels="1"/>
        </ext>
      </extLst>
    </pivotField>
    <pivotField compact="0" showAll="0" insertBlankRow="1">
      <extLst>
        <ext xmlns:x14="http://schemas.microsoft.com/office/spreadsheetml/2009/9/main" uri="{2946ED86-A175-432a-8AC1-64E0C546D7DE}">
          <x14:pivotField fillDownLabels="1"/>
        </ext>
      </extLst>
    </pivotField>
    <pivotField compact="0" showAll="0" insertBlankRow="1">
      <extLst>
        <ext xmlns:x14="http://schemas.microsoft.com/office/spreadsheetml/2009/9/main" uri="{2946ED86-A175-432a-8AC1-64E0C546D7DE}">
          <x14:pivotField fillDownLabels="1"/>
        </ext>
      </extLst>
    </pivotField>
    <pivotField axis="axisRow" compact="0" showAll="0" insertBlankRow="1">
      <items count="9">
        <item x="4"/>
        <item x="3"/>
        <item x="2"/>
        <item x="0"/>
        <item x="7"/>
        <item x="1"/>
        <item x="6"/>
        <item x="5"/>
        <item t="default"/>
      </items>
      <extLst>
        <ext xmlns:x14="http://schemas.microsoft.com/office/spreadsheetml/2009/9/main" uri="{2946ED86-A175-432a-8AC1-64E0C546D7DE}">
          <x14:pivotField fillDownLabels="1"/>
        </ext>
      </extLst>
    </pivotField>
    <pivotField dataField="1" compact="0" numFmtId="1" showAll="0" insertBlankRow="1">
      <extLst>
        <ext xmlns:x14="http://schemas.microsoft.com/office/spreadsheetml/2009/9/main" uri="{2946ED86-A175-432a-8AC1-64E0C546D7DE}">
          <x14:pivotField fillDownLabels="1"/>
        </ext>
      </extLst>
    </pivotField>
    <pivotField compact="0" numFmtId="165" showAll="0" insertBlankRow="1">
      <extLst>
        <ext xmlns:x14="http://schemas.microsoft.com/office/spreadsheetml/2009/9/main" uri="{2946ED86-A175-432a-8AC1-64E0C546D7DE}">
          <x14:pivotField fillDownLabels="1"/>
        </ext>
      </extLst>
    </pivotField>
    <pivotField compact="0" showAll="0" insertBlankRow="1">
      <extLst>
        <ext xmlns:x14="http://schemas.microsoft.com/office/spreadsheetml/2009/9/main" uri="{2946ED86-A175-432a-8AC1-64E0C546D7DE}">
          <x14:pivotField fillDownLabels="1"/>
        </ext>
      </extLst>
    </pivotField>
    <pivotField compact="0" showAll="0" insertBlankRow="1">
      <extLst>
        <ext xmlns:x14="http://schemas.microsoft.com/office/spreadsheetml/2009/9/main" uri="{2946ED86-A175-432a-8AC1-64E0C546D7DE}">
          <x14:pivotField fillDownLabels="1"/>
        </ext>
      </extLst>
    </pivotField>
    <pivotField compact="0" showAll="0" insertBlankRow="1">
      <extLst>
        <ext xmlns:x14="http://schemas.microsoft.com/office/spreadsheetml/2009/9/main" uri="{2946ED86-A175-432a-8AC1-64E0C546D7DE}">
          <x14:pivotField fillDownLabels="1"/>
        </ext>
      </extLst>
    </pivotField>
  </pivotFields>
  <rowFields count="1">
    <field x="4"/>
  </rowFields>
  <rowItems count="9">
    <i>
      <x/>
    </i>
    <i>
      <x v="1"/>
    </i>
    <i>
      <x v="2"/>
    </i>
    <i>
      <x v="3"/>
    </i>
    <i>
      <x v="4"/>
    </i>
    <i>
      <x v="5"/>
    </i>
    <i>
      <x v="6"/>
    </i>
    <i>
      <x v="7"/>
    </i>
    <i t="grand">
      <x/>
    </i>
  </rowItems>
  <colItems count="1">
    <i/>
  </colItems>
  <dataFields count="1">
    <dataField name="Sum of Quantity (number)" fld="5"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B10" firstHeaderRow="1" firstDataRow="1" firstDataCol="1"/>
  <pivotFields count="10">
    <pivotField showAll="0"/>
    <pivotField showAll="0">
      <items count="31">
        <item x="25"/>
        <item x="0"/>
        <item x="29"/>
        <item x="20"/>
        <item x="4"/>
        <item x="9"/>
        <item x="14"/>
        <item x="7"/>
        <item x="1"/>
        <item x="6"/>
        <item x="10"/>
        <item x="12"/>
        <item x="2"/>
        <item x="13"/>
        <item x="3"/>
        <item x="18"/>
        <item x="8"/>
        <item x="24"/>
        <item x="22"/>
        <item x="26"/>
        <item x="23"/>
        <item x="5"/>
        <item x="27"/>
        <item x="15"/>
        <item x="11"/>
        <item x="19"/>
        <item x="28"/>
        <item x="17"/>
        <item x="16"/>
        <item x="21"/>
        <item t="default"/>
      </items>
    </pivotField>
    <pivotField showAll="0"/>
    <pivotField showAll="0">
      <items count="18">
        <item x="10"/>
        <item x="7"/>
        <item x="14"/>
        <item x="13"/>
        <item x="12"/>
        <item x="2"/>
        <item x="0"/>
        <item x="16"/>
        <item x="1"/>
        <item x="11"/>
        <item x="8"/>
        <item x="9"/>
        <item x="4"/>
        <item x="15"/>
        <item x="3"/>
        <item x="5"/>
        <item x="6"/>
        <item t="default"/>
      </items>
    </pivotField>
    <pivotField axis="axisRow" showAll="0">
      <items count="9">
        <item x="4"/>
        <item x="3"/>
        <item x="2"/>
        <item x="0"/>
        <item x="7"/>
        <item x="1"/>
        <item x="6"/>
        <item x="5"/>
        <item t="default"/>
      </items>
    </pivotField>
    <pivotField numFmtId="1" showAll="0"/>
    <pivotField dataField="1" numFmtId="165"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UnitPrice (number)"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J41" totalsRowShown="0" headerRowDxfId="5" dataDxfId="6" headerRowBorderDxfId="13" tableBorderDxfId="14" totalsRowBorderDxfId="12">
  <autoFilter ref="A1:J41"/>
  <tableColumns count="10">
    <tableColumn id="1" name="InvoiceID" dataDxfId="11"/>
    <tableColumn id="2" name="Date (YYYY-MM-DD)" dataDxfId="10"/>
    <tableColumn id="3" name="CustomerName" dataDxfId="9"/>
    <tableColumn id="4" name="Address" dataDxfId="8"/>
    <tableColumn id="5" name="Item" dataDxfId="4"/>
    <tableColumn id="6" name="Quantity (number)" dataDxfId="2"/>
    <tableColumn id="7" name="UnitPrice (number)" dataDxfId="1"/>
    <tableColumn id="8" name="Total (formula)" dataDxfId="3" dataCellStyle="Currency"/>
    <tableColumn id="9" name="Status (Paid/Unpaid/Refunded)" dataDxfId="0"/>
    <tableColumn id="10" name="Notes" dataDxfId="7"/>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
  <sheetViews>
    <sheetView topLeftCell="A7" zoomScale="145" zoomScaleNormal="145" workbookViewId="0">
      <selection activeCell="D7" sqref="D7"/>
    </sheetView>
  </sheetViews>
  <sheetFormatPr defaultRowHeight="14.5" x14ac:dyDescent="0.35"/>
  <cols>
    <col min="1" max="8" width="14" style="3" customWidth="1"/>
  </cols>
  <sheetData>
    <row r="1" spans="1:8" ht="29" x14ac:dyDescent="0.35">
      <c r="A1" s="2" t="s">
        <v>0</v>
      </c>
      <c r="B1" s="2" t="s">
        <v>1</v>
      </c>
      <c r="C1" s="2" t="s">
        <v>2</v>
      </c>
      <c r="D1" s="2" t="s">
        <v>3</v>
      </c>
      <c r="E1" s="2" t="s">
        <v>4</v>
      </c>
      <c r="F1" s="2" t="s">
        <v>5</v>
      </c>
      <c r="G1" s="2" t="s">
        <v>6</v>
      </c>
      <c r="H1" s="2" t="s">
        <v>7</v>
      </c>
    </row>
    <row r="2" spans="1:8" ht="290" x14ac:dyDescent="0.35">
      <c r="A2" s="5" t="s">
        <v>8</v>
      </c>
      <c r="B2" s="5" t="s">
        <v>9</v>
      </c>
      <c r="C2" s="5" t="s">
        <v>10</v>
      </c>
      <c r="D2" s="5" t="s">
        <v>11</v>
      </c>
      <c r="E2" s="5" t="s">
        <v>12</v>
      </c>
      <c r="F2" s="5" t="s">
        <v>13</v>
      </c>
      <c r="G2" s="5" t="s">
        <v>14</v>
      </c>
      <c r="H2" s="5" t="s">
        <v>15</v>
      </c>
    </row>
    <row r="3" spans="1:8" x14ac:dyDescent="0.35">
      <c r="A3" s="33" t="s">
        <v>344</v>
      </c>
      <c r="B3" s="33"/>
      <c r="C3" s="33"/>
      <c r="D3" s="33"/>
      <c r="E3" s="33"/>
      <c r="F3" s="33"/>
      <c r="G3" s="33"/>
      <c r="H3" s="33"/>
    </row>
    <row r="4" spans="1:8" x14ac:dyDescent="0.35">
      <c r="A4" s="33"/>
      <c r="B4" s="33"/>
      <c r="C4" s="33"/>
      <c r="D4" s="33"/>
      <c r="E4" s="33"/>
      <c r="F4" s="33"/>
      <c r="G4" s="33"/>
      <c r="H4" s="33"/>
    </row>
  </sheetData>
  <mergeCells count="1">
    <mergeCell ref="A3:H4"/>
  </mergeCells>
  <pageMargins left="0.25" right="0.25" top="0.75" bottom="0.75" header="0.3" footer="0.3"/>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5"/>
  <sheetViews>
    <sheetView topLeftCell="A34" workbookViewId="0">
      <selection activeCell="B55" sqref="B55"/>
    </sheetView>
  </sheetViews>
  <sheetFormatPr defaultRowHeight="14.5" x14ac:dyDescent="0.35"/>
  <sheetData>
    <row r="1" spans="1:10" x14ac:dyDescent="0.35">
      <c r="A1" s="1" t="s">
        <v>16</v>
      </c>
      <c r="B1" s="1" t="s">
        <v>17</v>
      </c>
      <c r="C1" s="1" t="s">
        <v>18</v>
      </c>
      <c r="D1" s="1" t="s">
        <v>19</v>
      </c>
      <c r="E1" s="1" t="s">
        <v>20</v>
      </c>
      <c r="F1" s="1" t="s">
        <v>21</v>
      </c>
      <c r="G1" s="1" t="s">
        <v>22</v>
      </c>
      <c r="H1" s="1" t="s">
        <v>23</v>
      </c>
      <c r="I1" s="1" t="s">
        <v>24</v>
      </c>
      <c r="J1" s="1" t="s">
        <v>25</v>
      </c>
    </row>
    <row r="2" spans="1:10" x14ac:dyDescent="0.35">
      <c r="A2" t="s">
        <v>26</v>
      </c>
      <c r="B2" t="s">
        <v>27</v>
      </c>
      <c r="C2" t="s">
        <v>28</v>
      </c>
      <c r="D2" t="s">
        <v>29</v>
      </c>
      <c r="E2" t="s">
        <v>30</v>
      </c>
      <c r="F2" t="s">
        <v>31</v>
      </c>
      <c r="G2" t="s">
        <v>32</v>
      </c>
      <c r="I2" t="s">
        <v>33</v>
      </c>
      <c r="J2" t="s">
        <v>34</v>
      </c>
    </row>
    <row r="3" spans="1:10" x14ac:dyDescent="0.35">
      <c r="A3" t="s">
        <v>35</v>
      </c>
      <c r="B3" t="s">
        <v>36</v>
      </c>
      <c r="C3" t="s">
        <v>37</v>
      </c>
      <c r="D3" t="s">
        <v>29</v>
      </c>
      <c r="E3" t="s">
        <v>38</v>
      </c>
      <c r="F3" t="s">
        <v>39</v>
      </c>
      <c r="G3" t="s">
        <v>40</v>
      </c>
      <c r="I3" t="s">
        <v>33</v>
      </c>
      <c r="J3" t="s">
        <v>41</v>
      </c>
    </row>
    <row r="4" spans="1:10" x14ac:dyDescent="0.35">
      <c r="A4" t="s">
        <v>42</v>
      </c>
      <c r="B4" t="s">
        <v>43</v>
      </c>
      <c r="C4" t="s">
        <v>44</v>
      </c>
      <c r="D4" t="s">
        <v>29</v>
      </c>
      <c r="E4" t="s">
        <v>45</v>
      </c>
      <c r="F4" t="s">
        <v>46</v>
      </c>
      <c r="G4" t="s">
        <v>47</v>
      </c>
      <c r="I4" t="s">
        <v>48</v>
      </c>
      <c r="J4" t="s">
        <v>49</v>
      </c>
    </row>
    <row r="5" spans="1:10" x14ac:dyDescent="0.35">
      <c r="A5" t="s">
        <v>50</v>
      </c>
      <c r="B5" t="s">
        <v>51</v>
      </c>
      <c r="C5" t="s">
        <v>52</v>
      </c>
      <c r="D5" t="s">
        <v>53</v>
      </c>
      <c r="E5" t="s">
        <v>38</v>
      </c>
      <c r="F5" t="s">
        <v>54</v>
      </c>
      <c r="G5" t="s">
        <v>55</v>
      </c>
      <c r="I5" t="s">
        <v>56</v>
      </c>
      <c r="J5" t="s">
        <v>49</v>
      </c>
    </row>
    <row r="6" spans="1:10" x14ac:dyDescent="0.35">
      <c r="A6" t="s">
        <v>57</v>
      </c>
      <c r="B6" t="s">
        <v>58</v>
      </c>
      <c r="C6" t="s">
        <v>59</v>
      </c>
      <c r="D6" t="s">
        <v>60</v>
      </c>
      <c r="E6" t="s">
        <v>61</v>
      </c>
      <c r="F6" t="s">
        <v>62</v>
      </c>
      <c r="G6" t="s">
        <v>63</v>
      </c>
      <c r="I6" t="s">
        <v>64</v>
      </c>
    </row>
    <row r="7" spans="1:10" x14ac:dyDescent="0.35">
      <c r="A7" t="s">
        <v>65</v>
      </c>
      <c r="B7" t="s">
        <v>66</v>
      </c>
      <c r="C7" t="s">
        <v>67</v>
      </c>
      <c r="D7" t="s">
        <v>68</v>
      </c>
      <c r="E7" t="s">
        <v>61</v>
      </c>
      <c r="F7" t="s">
        <v>69</v>
      </c>
      <c r="G7" t="s">
        <v>70</v>
      </c>
      <c r="I7" t="s">
        <v>64</v>
      </c>
      <c r="J7" t="s">
        <v>34</v>
      </c>
    </row>
    <row r="8" spans="1:10" x14ac:dyDescent="0.35">
      <c r="A8" t="s">
        <v>71</v>
      </c>
      <c r="B8" t="s">
        <v>72</v>
      </c>
      <c r="C8" t="s">
        <v>73</v>
      </c>
      <c r="D8" t="s">
        <v>29</v>
      </c>
      <c r="E8" t="s">
        <v>61</v>
      </c>
      <c r="F8" t="s">
        <v>74</v>
      </c>
      <c r="G8" t="s">
        <v>75</v>
      </c>
      <c r="I8" t="s">
        <v>56</v>
      </c>
      <c r="J8" t="s">
        <v>49</v>
      </c>
    </row>
    <row r="9" spans="1:10" x14ac:dyDescent="0.35">
      <c r="A9" t="s">
        <v>76</v>
      </c>
      <c r="B9" t="s">
        <v>77</v>
      </c>
      <c r="C9" t="s">
        <v>78</v>
      </c>
      <c r="D9" t="s">
        <v>29</v>
      </c>
      <c r="E9" t="s">
        <v>45</v>
      </c>
      <c r="F9" t="s">
        <v>79</v>
      </c>
      <c r="G9" t="s">
        <v>80</v>
      </c>
      <c r="I9" t="s">
        <v>33</v>
      </c>
      <c r="J9" t="s">
        <v>34</v>
      </c>
    </row>
    <row r="10" spans="1:10" x14ac:dyDescent="0.35">
      <c r="A10" t="s">
        <v>81</v>
      </c>
      <c r="B10" t="s">
        <v>82</v>
      </c>
      <c r="C10" t="s">
        <v>83</v>
      </c>
      <c r="D10" t="s">
        <v>84</v>
      </c>
      <c r="E10" t="s">
        <v>85</v>
      </c>
      <c r="F10" t="s">
        <v>31</v>
      </c>
      <c r="G10" t="s">
        <v>86</v>
      </c>
      <c r="I10" t="s">
        <v>33</v>
      </c>
      <c r="J10" t="s">
        <v>87</v>
      </c>
    </row>
    <row r="11" spans="1:10" x14ac:dyDescent="0.35">
      <c r="A11" t="s">
        <v>88</v>
      </c>
      <c r="B11" t="s">
        <v>89</v>
      </c>
      <c r="C11" t="s">
        <v>90</v>
      </c>
      <c r="D11" t="s">
        <v>91</v>
      </c>
      <c r="E11" t="s">
        <v>38</v>
      </c>
      <c r="F11" t="s">
        <v>92</v>
      </c>
      <c r="G11" t="s">
        <v>93</v>
      </c>
      <c r="I11" t="s">
        <v>33</v>
      </c>
      <c r="J11" t="s">
        <v>87</v>
      </c>
    </row>
    <row r="12" spans="1:10" x14ac:dyDescent="0.35">
      <c r="A12" t="s">
        <v>94</v>
      </c>
      <c r="B12" t="s">
        <v>95</v>
      </c>
      <c r="C12" t="s">
        <v>96</v>
      </c>
      <c r="D12" t="s">
        <v>91</v>
      </c>
      <c r="E12" t="s">
        <v>85</v>
      </c>
      <c r="F12" t="s">
        <v>31</v>
      </c>
      <c r="G12" t="s">
        <v>97</v>
      </c>
      <c r="I12" t="s">
        <v>56</v>
      </c>
      <c r="J12" t="s">
        <v>41</v>
      </c>
    </row>
    <row r="13" spans="1:10" x14ac:dyDescent="0.35">
      <c r="A13" t="s">
        <v>98</v>
      </c>
      <c r="B13" t="s">
        <v>99</v>
      </c>
      <c r="C13" t="s">
        <v>100</v>
      </c>
      <c r="D13" t="s">
        <v>60</v>
      </c>
      <c r="E13" t="s">
        <v>38</v>
      </c>
      <c r="F13" t="s">
        <v>54</v>
      </c>
      <c r="G13" t="s">
        <v>101</v>
      </c>
      <c r="I13" t="s">
        <v>64</v>
      </c>
      <c r="J13" t="s">
        <v>34</v>
      </c>
    </row>
    <row r="14" spans="1:10" x14ac:dyDescent="0.35">
      <c r="A14" t="s">
        <v>102</v>
      </c>
      <c r="B14" t="s">
        <v>103</v>
      </c>
      <c r="C14" t="s">
        <v>104</v>
      </c>
      <c r="D14" t="s">
        <v>105</v>
      </c>
      <c r="E14" t="s">
        <v>85</v>
      </c>
      <c r="F14" t="s">
        <v>106</v>
      </c>
      <c r="G14" t="s">
        <v>107</v>
      </c>
      <c r="I14" t="s">
        <v>48</v>
      </c>
      <c r="J14" t="s">
        <v>34</v>
      </c>
    </row>
    <row r="15" spans="1:10" x14ac:dyDescent="0.35">
      <c r="A15" t="s">
        <v>108</v>
      </c>
      <c r="B15" t="s">
        <v>109</v>
      </c>
      <c r="C15" t="s">
        <v>110</v>
      </c>
      <c r="D15" t="s">
        <v>111</v>
      </c>
      <c r="E15" t="s">
        <v>112</v>
      </c>
      <c r="F15" t="s">
        <v>92</v>
      </c>
      <c r="G15" t="s">
        <v>113</v>
      </c>
      <c r="I15" t="s">
        <v>48</v>
      </c>
      <c r="J15" t="s">
        <v>49</v>
      </c>
    </row>
    <row r="16" spans="1:10" x14ac:dyDescent="0.35">
      <c r="A16" t="s">
        <v>114</v>
      </c>
      <c r="B16" t="s">
        <v>115</v>
      </c>
      <c r="C16" t="s">
        <v>44</v>
      </c>
      <c r="D16" t="s">
        <v>60</v>
      </c>
      <c r="E16" t="s">
        <v>38</v>
      </c>
      <c r="F16" t="s">
        <v>92</v>
      </c>
      <c r="G16" t="s">
        <v>116</v>
      </c>
      <c r="I16" t="s">
        <v>33</v>
      </c>
      <c r="J16" t="s">
        <v>34</v>
      </c>
    </row>
    <row r="17" spans="1:10" x14ac:dyDescent="0.35">
      <c r="A17" t="s">
        <v>117</v>
      </c>
      <c r="B17" t="s">
        <v>118</v>
      </c>
      <c r="C17" t="s">
        <v>119</v>
      </c>
      <c r="D17" t="s">
        <v>120</v>
      </c>
      <c r="E17" t="s">
        <v>85</v>
      </c>
      <c r="F17" t="s">
        <v>31</v>
      </c>
      <c r="G17" t="s">
        <v>121</v>
      </c>
      <c r="I17" t="s">
        <v>48</v>
      </c>
      <c r="J17" t="s">
        <v>49</v>
      </c>
    </row>
    <row r="18" spans="1:10" x14ac:dyDescent="0.35">
      <c r="A18" t="s">
        <v>122</v>
      </c>
      <c r="B18" t="s">
        <v>123</v>
      </c>
      <c r="C18" t="s">
        <v>124</v>
      </c>
      <c r="D18" t="s">
        <v>125</v>
      </c>
      <c r="E18" t="s">
        <v>38</v>
      </c>
      <c r="F18" t="s">
        <v>126</v>
      </c>
      <c r="G18" t="s">
        <v>127</v>
      </c>
      <c r="I18" t="s">
        <v>64</v>
      </c>
      <c r="J18" t="s">
        <v>34</v>
      </c>
    </row>
    <row r="19" spans="1:10" x14ac:dyDescent="0.35">
      <c r="A19" t="s">
        <v>128</v>
      </c>
      <c r="B19" t="s">
        <v>129</v>
      </c>
      <c r="C19" t="s">
        <v>73</v>
      </c>
      <c r="D19" t="s">
        <v>120</v>
      </c>
      <c r="E19" t="s">
        <v>61</v>
      </c>
      <c r="F19" t="s">
        <v>130</v>
      </c>
      <c r="G19" t="s">
        <v>131</v>
      </c>
      <c r="I19" t="s">
        <v>33</v>
      </c>
      <c r="J19" t="s">
        <v>49</v>
      </c>
    </row>
    <row r="20" spans="1:10" x14ac:dyDescent="0.35">
      <c r="A20" t="s">
        <v>132</v>
      </c>
      <c r="B20" t="s">
        <v>133</v>
      </c>
      <c r="C20" t="s">
        <v>134</v>
      </c>
      <c r="D20" t="s">
        <v>135</v>
      </c>
      <c r="E20" t="s">
        <v>61</v>
      </c>
      <c r="F20" t="s">
        <v>31</v>
      </c>
      <c r="G20" t="s">
        <v>136</v>
      </c>
      <c r="I20" t="s">
        <v>48</v>
      </c>
    </row>
    <row r="21" spans="1:10" x14ac:dyDescent="0.35">
      <c r="A21" t="s">
        <v>137</v>
      </c>
      <c r="B21" t="s">
        <v>138</v>
      </c>
      <c r="C21" t="s">
        <v>139</v>
      </c>
      <c r="D21" t="s">
        <v>29</v>
      </c>
      <c r="E21" t="s">
        <v>140</v>
      </c>
      <c r="F21" t="s">
        <v>31</v>
      </c>
      <c r="G21" t="s">
        <v>141</v>
      </c>
      <c r="I21" t="s">
        <v>56</v>
      </c>
      <c r="J21" t="s">
        <v>49</v>
      </c>
    </row>
    <row r="22" spans="1:10" x14ac:dyDescent="0.35">
      <c r="A22" t="s">
        <v>142</v>
      </c>
      <c r="B22" t="s">
        <v>143</v>
      </c>
      <c r="C22" t="s">
        <v>52</v>
      </c>
      <c r="D22" t="s">
        <v>135</v>
      </c>
      <c r="E22" t="s">
        <v>112</v>
      </c>
      <c r="F22" t="s">
        <v>31</v>
      </c>
      <c r="G22" t="s">
        <v>144</v>
      </c>
      <c r="I22" t="s">
        <v>56</v>
      </c>
    </row>
    <row r="23" spans="1:10" x14ac:dyDescent="0.35">
      <c r="A23" t="s">
        <v>145</v>
      </c>
      <c r="B23" t="s">
        <v>146</v>
      </c>
      <c r="C23" t="s">
        <v>147</v>
      </c>
      <c r="D23" t="s">
        <v>91</v>
      </c>
      <c r="E23" t="s">
        <v>45</v>
      </c>
      <c r="F23" t="s">
        <v>106</v>
      </c>
      <c r="G23" t="s">
        <v>148</v>
      </c>
      <c r="I23" t="s">
        <v>56</v>
      </c>
      <c r="J23" t="s">
        <v>87</v>
      </c>
    </row>
    <row r="24" spans="1:10" x14ac:dyDescent="0.35">
      <c r="A24" t="s">
        <v>149</v>
      </c>
      <c r="B24" t="s">
        <v>150</v>
      </c>
      <c r="C24" t="s">
        <v>151</v>
      </c>
      <c r="D24" t="s">
        <v>152</v>
      </c>
      <c r="E24" t="s">
        <v>45</v>
      </c>
      <c r="F24" t="s">
        <v>79</v>
      </c>
      <c r="G24" t="s">
        <v>153</v>
      </c>
      <c r="I24" t="s">
        <v>33</v>
      </c>
    </row>
    <row r="25" spans="1:10" x14ac:dyDescent="0.35">
      <c r="A25" t="s">
        <v>154</v>
      </c>
      <c r="B25" t="s">
        <v>123</v>
      </c>
      <c r="C25" t="s">
        <v>155</v>
      </c>
      <c r="D25" t="s">
        <v>29</v>
      </c>
      <c r="E25" t="s">
        <v>30</v>
      </c>
      <c r="F25" t="s">
        <v>79</v>
      </c>
      <c r="G25" t="s">
        <v>156</v>
      </c>
      <c r="I25" t="s">
        <v>56</v>
      </c>
      <c r="J25" t="s">
        <v>49</v>
      </c>
    </row>
    <row r="26" spans="1:10" x14ac:dyDescent="0.35">
      <c r="A26" t="s">
        <v>157</v>
      </c>
      <c r="B26" t="s">
        <v>158</v>
      </c>
      <c r="C26" t="s">
        <v>159</v>
      </c>
      <c r="D26" t="s">
        <v>135</v>
      </c>
      <c r="E26" t="s">
        <v>160</v>
      </c>
      <c r="F26" t="s">
        <v>79</v>
      </c>
      <c r="G26" t="s">
        <v>161</v>
      </c>
      <c r="I26" t="s">
        <v>33</v>
      </c>
      <c r="J26" t="s">
        <v>34</v>
      </c>
    </row>
    <row r="27" spans="1:10" x14ac:dyDescent="0.35">
      <c r="A27" t="s">
        <v>162</v>
      </c>
      <c r="B27" t="s">
        <v>163</v>
      </c>
      <c r="C27" t="s">
        <v>164</v>
      </c>
      <c r="D27" t="s">
        <v>91</v>
      </c>
      <c r="E27" t="s">
        <v>61</v>
      </c>
      <c r="F27" t="s">
        <v>31</v>
      </c>
      <c r="G27" t="s">
        <v>165</v>
      </c>
      <c r="I27" t="s">
        <v>48</v>
      </c>
      <c r="J27" t="s">
        <v>34</v>
      </c>
    </row>
    <row r="28" spans="1:10" x14ac:dyDescent="0.35">
      <c r="A28" t="s">
        <v>166</v>
      </c>
      <c r="B28" t="s">
        <v>167</v>
      </c>
      <c r="C28" t="s">
        <v>134</v>
      </c>
      <c r="D28" t="s">
        <v>60</v>
      </c>
      <c r="E28" t="s">
        <v>30</v>
      </c>
      <c r="F28" t="s">
        <v>31</v>
      </c>
      <c r="G28" t="s">
        <v>168</v>
      </c>
      <c r="I28" t="s">
        <v>48</v>
      </c>
      <c r="J28" t="s">
        <v>49</v>
      </c>
    </row>
    <row r="29" spans="1:10" x14ac:dyDescent="0.35">
      <c r="A29" t="s">
        <v>169</v>
      </c>
      <c r="B29" t="s">
        <v>170</v>
      </c>
      <c r="C29" t="s">
        <v>171</v>
      </c>
      <c r="D29" t="s">
        <v>91</v>
      </c>
      <c r="E29" t="s">
        <v>140</v>
      </c>
      <c r="F29" t="s">
        <v>31</v>
      </c>
      <c r="G29" t="s">
        <v>172</v>
      </c>
      <c r="I29" t="s">
        <v>48</v>
      </c>
      <c r="J29" t="s">
        <v>49</v>
      </c>
    </row>
    <row r="30" spans="1:10" x14ac:dyDescent="0.35">
      <c r="A30" t="s">
        <v>173</v>
      </c>
      <c r="B30" t="s">
        <v>174</v>
      </c>
      <c r="C30" t="s">
        <v>175</v>
      </c>
      <c r="D30" t="s">
        <v>120</v>
      </c>
      <c r="E30" t="s">
        <v>160</v>
      </c>
      <c r="F30" t="s">
        <v>46</v>
      </c>
      <c r="G30" t="s">
        <v>176</v>
      </c>
      <c r="I30" t="s">
        <v>64</v>
      </c>
      <c r="J30" t="s">
        <v>34</v>
      </c>
    </row>
    <row r="31" spans="1:10" x14ac:dyDescent="0.35">
      <c r="A31" t="s">
        <v>177</v>
      </c>
      <c r="B31" t="s">
        <v>178</v>
      </c>
      <c r="C31" t="s">
        <v>179</v>
      </c>
      <c r="D31" t="s">
        <v>180</v>
      </c>
      <c r="E31" t="s">
        <v>45</v>
      </c>
      <c r="F31" t="s">
        <v>92</v>
      </c>
      <c r="G31" t="s">
        <v>181</v>
      </c>
      <c r="I31" t="s">
        <v>48</v>
      </c>
      <c r="J31" t="s">
        <v>87</v>
      </c>
    </row>
    <row r="32" spans="1:10" x14ac:dyDescent="0.35">
      <c r="A32" t="s">
        <v>182</v>
      </c>
      <c r="B32" t="s">
        <v>183</v>
      </c>
      <c r="C32" t="s">
        <v>184</v>
      </c>
      <c r="D32" t="s">
        <v>91</v>
      </c>
      <c r="E32" t="s">
        <v>38</v>
      </c>
      <c r="F32" t="s">
        <v>106</v>
      </c>
      <c r="G32" t="s">
        <v>185</v>
      </c>
      <c r="I32" t="s">
        <v>56</v>
      </c>
      <c r="J32" t="s">
        <v>34</v>
      </c>
    </row>
    <row r="33" spans="1:11" x14ac:dyDescent="0.35">
      <c r="A33" t="s">
        <v>186</v>
      </c>
      <c r="B33" t="s">
        <v>187</v>
      </c>
      <c r="C33" t="s">
        <v>188</v>
      </c>
      <c r="D33" t="s">
        <v>189</v>
      </c>
      <c r="E33" t="s">
        <v>45</v>
      </c>
      <c r="F33" t="s">
        <v>190</v>
      </c>
      <c r="G33" t="s">
        <v>191</v>
      </c>
      <c r="I33" t="s">
        <v>56</v>
      </c>
      <c r="J33" t="s">
        <v>49</v>
      </c>
    </row>
    <row r="34" spans="1:11" x14ac:dyDescent="0.35">
      <c r="A34" t="s">
        <v>192</v>
      </c>
      <c r="B34" t="s">
        <v>193</v>
      </c>
      <c r="C34" t="s">
        <v>73</v>
      </c>
      <c r="D34" t="s">
        <v>194</v>
      </c>
      <c r="E34" t="s">
        <v>160</v>
      </c>
      <c r="F34" t="s">
        <v>79</v>
      </c>
      <c r="G34" t="s">
        <v>195</v>
      </c>
      <c r="I34" t="s">
        <v>48</v>
      </c>
      <c r="J34" t="s">
        <v>34</v>
      </c>
    </row>
    <row r="35" spans="1:11" x14ac:dyDescent="0.35">
      <c r="A35" t="s">
        <v>196</v>
      </c>
      <c r="B35" t="s">
        <v>197</v>
      </c>
      <c r="C35" t="s">
        <v>104</v>
      </c>
      <c r="D35" t="s">
        <v>198</v>
      </c>
      <c r="E35" t="s">
        <v>38</v>
      </c>
      <c r="F35" t="s">
        <v>92</v>
      </c>
      <c r="G35" t="s">
        <v>199</v>
      </c>
      <c r="I35" t="s">
        <v>56</v>
      </c>
      <c r="J35" t="s">
        <v>87</v>
      </c>
    </row>
    <row r="36" spans="1:11" x14ac:dyDescent="0.35">
      <c r="A36" t="s">
        <v>200</v>
      </c>
      <c r="B36" t="s">
        <v>201</v>
      </c>
      <c r="C36" t="s">
        <v>202</v>
      </c>
      <c r="D36" t="s">
        <v>60</v>
      </c>
      <c r="E36" t="s">
        <v>38</v>
      </c>
      <c r="F36" t="s">
        <v>31</v>
      </c>
      <c r="G36" t="s">
        <v>203</v>
      </c>
      <c r="I36" t="s">
        <v>64</v>
      </c>
      <c r="J36" t="s">
        <v>87</v>
      </c>
    </row>
    <row r="37" spans="1:11" x14ac:dyDescent="0.35">
      <c r="A37" t="s">
        <v>204</v>
      </c>
      <c r="B37" t="s">
        <v>205</v>
      </c>
      <c r="C37" t="s">
        <v>188</v>
      </c>
      <c r="D37" t="s">
        <v>91</v>
      </c>
      <c r="E37" t="s">
        <v>140</v>
      </c>
      <c r="F37" t="s">
        <v>79</v>
      </c>
      <c r="G37" t="s">
        <v>206</v>
      </c>
      <c r="I37" t="s">
        <v>64</v>
      </c>
      <c r="J37" t="s">
        <v>49</v>
      </c>
    </row>
    <row r="38" spans="1:11" x14ac:dyDescent="0.35">
      <c r="A38" t="s">
        <v>207</v>
      </c>
      <c r="B38" t="s">
        <v>95</v>
      </c>
      <c r="C38" t="s">
        <v>208</v>
      </c>
      <c r="D38" t="s">
        <v>120</v>
      </c>
      <c r="E38" t="s">
        <v>61</v>
      </c>
      <c r="F38" t="s">
        <v>209</v>
      </c>
      <c r="G38" t="s">
        <v>210</v>
      </c>
      <c r="I38" t="s">
        <v>48</v>
      </c>
      <c r="J38" t="s">
        <v>41</v>
      </c>
    </row>
    <row r="39" spans="1:11" x14ac:dyDescent="0.35">
      <c r="A39" t="s">
        <v>211</v>
      </c>
      <c r="B39" t="s">
        <v>212</v>
      </c>
      <c r="C39" t="s">
        <v>213</v>
      </c>
      <c r="D39" t="s">
        <v>214</v>
      </c>
      <c r="E39" t="s">
        <v>61</v>
      </c>
      <c r="F39" t="s">
        <v>92</v>
      </c>
      <c r="G39" t="s">
        <v>215</v>
      </c>
      <c r="I39" t="s">
        <v>33</v>
      </c>
      <c r="J39" t="s">
        <v>49</v>
      </c>
    </row>
    <row r="40" spans="1:11" x14ac:dyDescent="0.35">
      <c r="A40" t="s">
        <v>216</v>
      </c>
      <c r="B40" t="s">
        <v>217</v>
      </c>
      <c r="C40" t="s">
        <v>218</v>
      </c>
      <c r="D40" t="s">
        <v>60</v>
      </c>
      <c r="E40" t="s">
        <v>38</v>
      </c>
      <c r="F40" t="s">
        <v>92</v>
      </c>
      <c r="G40" t="s">
        <v>219</v>
      </c>
      <c r="I40" t="s">
        <v>48</v>
      </c>
    </row>
    <row r="41" spans="1:11" x14ac:dyDescent="0.35">
      <c r="A41" t="s">
        <v>220</v>
      </c>
      <c r="B41" t="s">
        <v>221</v>
      </c>
      <c r="C41" t="s">
        <v>67</v>
      </c>
      <c r="D41" t="s">
        <v>60</v>
      </c>
      <c r="E41" t="s">
        <v>45</v>
      </c>
      <c r="F41" t="s">
        <v>190</v>
      </c>
      <c r="G41" t="s">
        <v>222</v>
      </c>
      <c r="I41" t="s">
        <v>56</v>
      </c>
      <c r="J41" t="s">
        <v>87</v>
      </c>
    </row>
    <row r="43" spans="1:11" x14ac:dyDescent="0.35">
      <c r="A43" s="34" t="s">
        <v>344</v>
      </c>
      <c r="B43" s="34"/>
      <c r="C43" s="34"/>
      <c r="D43" s="34"/>
      <c r="E43" s="34"/>
      <c r="F43" s="34"/>
      <c r="G43" s="34"/>
      <c r="H43" s="34"/>
      <c r="I43" s="34"/>
      <c r="J43" s="34"/>
      <c r="K43" s="34"/>
    </row>
    <row r="44" spans="1:11" x14ac:dyDescent="0.35">
      <c r="A44" s="34"/>
      <c r="B44" s="34"/>
      <c r="C44" s="34"/>
      <c r="D44" s="34"/>
      <c r="E44" s="34"/>
      <c r="F44" s="34"/>
      <c r="G44" s="34"/>
      <c r="H44" s="34"/>
      <c r="I44" s="34"/>
      <c r="J44" s="34"/>
      <c r="K44" s="34"/>
    </row>
    <row r="45" spans="1:11" x14ac:dyDescent="0.35">
      <c r="A45" s="34"/>
      <c r="B45" s="34"/>
      <c r="C45" s="34"/>
      <c r="D45" s="34"/>
      <c r="E45" s="34"/>
      <c r="F45" s="34"/>
      <c r="G45" s="34"/>
      <c r="H45" s="34"/>
      <c r="I45" s="34"/>
      <c r="J45" s="34"/>
      <c r="K45" s="34"/>
    </row>
  </sheetData>
  <mergeCells count="1">
    <mergeCell ref="A43:K45"/>
  </mergeCells>
  <pageMargins left="0.25" right="0.25"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tabSelected="1" zoomScale="85" zoomScaleNormal="85" workbookViewId="0">
      <selection activeCell="F10" sqref="F10"/>
    </sheetView>
  </sheetViews>
  <sheetFormatPr defaultRowHeight="14.5" x14ac:dyDescent="0.35"/>
  <cols>
    <col min="1" max="1" width="10.54296875" customWidth="1"/>
    <col min="2" max="2" width="19.81640625" customWidth="1"/>
    <col min="3" max="3" width="15.90625" customWidth="1"/>
    <col min="4" max="4" width="30.6328125" bestFit="1" customWidth="1"/>
    <col min="5" max="5" width="16.36328125" bestFit="1" customWidth="1"/>
    <col min="6" max="6" width="18.54296875" style="20" customWidth="1"/>
    <col min="7" max="7" width="18.81640625" style="24" customWidth="1"/>
    <col min="8" max="8" width="15.453125" style="4" customWidth="1"/>
    <col min="9" max="9" width="29.1796875" style="27" customWidth="1"/>
    <col min="10" max="10" width="16.6328125" bestFit="1" customWidth="1"/>
  </cols>
  <sheetData>
    <row r="1" spans="1:10" ht="31.5" customHeight="1" x14ac:dyDescent="0.35">
      <c r="A1" s="12" t="s">
        <v>223</v>
      </c>
      <c r="B1" s="13" t="s">
        <v>224</v>
      </c>
      <c r="C1" s="13" t="s">
        <v>225</v>
      </c>
      <c r="D1" s="13" t="s">
        <v>226</v>
      </c>
      <c r="E1" s="13" t="s">
        <v>227</v>
      </c>
      <c r="F1" s="17" t="s">
        <v>228</v>
      </c>
      <c r="G1" s="21" t="s">
        <v>229</v>
      </c>
      <c r="H1" s="13" t="s">
        <v>230</v>
      </c>
      <c r="I1" s="13" t="s">
        <v>231</v>
      </c>
      <c r="J1" s="14" t="s">
        <v>7</v>
      </c>
    </row>
    <row r="2" spans="1:10" x14ac:dyDescent="0.35">
      <c r="A2" s="7" t="s">
        <v>232</v>
      </c>
      <c r="B2" s="6" t="s">
        <v>27</v>
      </c>
      <c r="C2" s="6" t="s">
        <v>233</v>
      </c>
      <c r="D2" s="6" t="s">
        <v>29</v>
      </c>
      <c r="E2" s="6" t="s">
        <v>30</v>
      </c>
      <c r="F2" s="18">
        <v>3</v>
      </c>
      <c r="G2" s="22">
        <v>100.36</v>
      </c>
      <c r="H2" s="25">
        <v>301.08</v>
      </c>
      <c r="I2" s="15" t="s">
        <v>234</v>
      </c>
      <c r="J2" s="8" t="s">
        <v>34</v>
      </c>
    </row>
    <row r="3" spans="1:10" x14ac:dyDescent="0.35">
      <c r="A3" s="7" t="s">
        <v>235</v>
      </c>
      <c r="B3" s="6" t="s">
        <v>236</v>
      </c>
      <c r="C3" s="6" t="s">
        <v>237</v>
      </c>
      <c r="D3" s="6" t="s">
        <v>29</v>
      </c>
      <c r="E3" s="6" t="s">
        <v>38</v>
      </c>
      <c r="F3" s="18">
        <v>4</v>
      </c>
      <c r="G3" s="22">
        <v>9.0299999999999994</v>
      </c>
      <c r="H3" s="25">
        <v>36.119999999999997</v>
      </c>
      <c r="I3" s="15" t="s">
        <v>234</v>
      </c>
      <c r="J3" s="8" t="s">
        <v>41</v>
      </c>
    </row>
    <row r="4" spans="1:10" x14ac:dyDescent="0.35">
      <c r="A4" s="7" t="s">
        <v>238</v>
      </c>
      <c r="B4" s="6" t="s">
        <v>43</v>
      </c>
      <c r="C4" s="6" t="s">
        <v>239</v>
      </c>
      <c r="D4" s="6" t="s">
        <v>29</v>
      </c>
      <c r="E4" s="6" t="s">
        <v>45</v>
      </c>
      <c r="F4" s="18">
        <v>2</v>
      </c>
      <c r="G4" s="22">
        <v>48.87</v>
      </c>
      <c r="H4" s="25">
        <v>97.74</v>
      </c>
      <c r="I4" s="15" t="s">
        <v>240</v>
      </c>
      <c r="J4" s="8" t="s">
        <v>49</v>
      </c>
    </row>
    <row r="5" spans="1:10" x14ac:dyDescent="0.35">
      <c r="A5" s="7" t="s">
        <v>241</v>
      </c>
      <c r="B5" s="6" t="s">
        <v>242</v>
      </c>
      <c r="C5" s="6" t="s">
        <v>243</v>
      </c>
      <c r="D5" s="6" t="s">
        <v>244</v>
      </c>
      <c r="E5" s="6" t="s">
        <v>38</v>
      </c>
      <c r="F5" s="18">
        <v>1</v>
      </c>
      <c r="G5" s="22">
        <v>70.11</v>
      </c>
      <c r="H5" s="25">
        <v>70.11</v>
      </c>
      <c r="I5" s="15" t="s">
        <v>245</v>
      </c>
      <c r="J5" s="8" t="s">
        <v>49</v>
      </c>
    </row>
    <row r="6" spans="1:10" x14ac:dyDescent="0.35">
      <c r="A6" s="7" t="s">
        <v>246</v>
      </c>
      <c r="B6" s="6" t="s">
        <v>170</v>
      </c>
      <c r="C6" s="6" t="s">
        <v>247</v>
      </c>
      <c r="D6" s="6" t="s">
        <v>60</v>
      </c>
      <c r="E6" s="6" t="s">
        <v>61</v>
      </c>
      <c r="F6" s="18">
        <v>6</v>
      </c>
      <c r="G6" s="22">
        <v>117.41</v>
      </c>
      <c r="H6" s="25">
        <v>704.46</v>
      </c>
      <c r="I6" s="15" t="s">
        <v>234</v>
      </c>
      <c r="J6" s="8"/>
    </row>
    <row r="7" spans="1:10" x14ac:dyDescent="0.35">
      <c r="A7" s="7" t="s">
        <v>248</v>
      </c>
      <c r="B7" s="6" t="s">
        <v>66</v>
      </c>
      <c r="C7" s="6" t="s">
        <v>249</v>
      </c>
      <c r="D7" s="6" t="s">
        <v>250</v>
      </c>
      <c r="E7" s="6" t="s">
        <v>61</v>
      </c>
      <c r="F7" s="18">
        <v>1</v>
      </c>
      <c r="G7" s="22">
        <v>44.01</v>
      </c>
      <c r="H7" s="25">
        <v>44.01</v>
      </c>
      <c r="I7" s="15" t="s">
        <v>234</v>
      </c>
      <c r="J7" s="8" t="s">
        <v>34</v>
      </c>
    </row>
    <row r="8" spans="1:10" x14ac:dyDescent="0.35">
      <c r="A8" s="7" t="s">
        <v>251</v>
      </c>
      <c r="B8" s="6" t="s">
        <v>72</v>
      </c>
      <c r="C8" s="6" t="s">
        <v>252</v>
      </c>
      <c r="D8" s="6" t="s">
        <v>29</v>
      </c>
      <c r="E8" s="6" t="s">
        <v>61</v>
      </c>
      <c r="F8" s="18">
        <v>10</v>
      </c>
      <c r="G8" s="22">
        <v>20.8</v>
      </c>
      <c r="H8" s="25">
        <v>208</v>
      </c>
      <c r="I8" s="15" t="s">
        <v>245</v>
      </c>
      <c r="J8" s="8" t="s">
        <v>49</v>
      </c>
    </row>
    <row r="9" spans="1:10" x14ac:dyDescent="0.35">
      <c r="A9" s="7" t="s">
        <v>253</v>
      </c>
      <c r="B9" s="6" t="s">
        <v>254</v>
      </c>
      <c r="C9" s="6" t="s">
        <v>255</v>
      </c>
      <c r="D9" s="6" t="s">
        <v>29</v>
      </c>
      <c r="E9" s="6" t="s">
        <v>45</v>
      </c>
      <c r="F9" s="18">
        <v>5</v>
      </c>
      <c r="G9" s="22">
        <v>15.41</v>
      </c>
      <c r="H9" s="25">
        <v>77.05</v>
      </c>
      <c r="I9" s="15" t="s">
        <v>234</v>
      </c>
      <c r="J9" s="8" t="s">
        <v>34</v>
      </c>
    </row>
    <row r="10" spans="1:10" x14ac:dyDescent="0.35">
      <c r="A10" s="7" t="s">
        <v>256</v>
      </c>
      <c r="B10" s="6" t="s">
        <v>82</v>
      </c>
      <c r="C10" s="6" t="s">
        <v>257</v>
      </c>
      <c r="D10" s="6" t="s">
        <v>258</v>
      </c>
      <c r="E10" s="6" t="s">
        <v>85</v>
      </c>
      <c r="F10" s="18">
        <v>3</v>
      </c>
      <c r="G10" s="22">
        <v>34.020000000000003</v>
      </c>
      <c r="H10" s="25">
        <v>102.06</v>
      </c>
      <c r="I10" s="15" t="s">
        <v>234</v>
      </c>
      <c r="J10" s="8" t="s">
        <v>87</v>
      </c>
    </row>
    <row r="11" spans="1:10" x14ac:dyDescent="0.35">
      <c r="A11" s="7" t="s">
        <v>259</v>
      </c>
      <c r="B11" s="6" t="s">
        <v>260</v>
      </c>
      <c r="C11" s="6" t="s">
        <v>261</v>
      </c>
      <c r="D11" s="6" t="s">
        <v>91</v>
      </c>
      <c r="E11" s="6" t="s">
        <v>38</v>
      </c>
      <c r="F11" s="18">
        <v>2</v>
      </c>
      <c r="G11" s="22">
        <v>106.71</v>
      </c>
      <c r="H11" s="25" t="s">
        <v>337</v>
      </c>
      <c r="I11" s="15" t="s">
        <v>234</v>
      </c>
      <c r="J11" s="8" t="s">
        <v>87</v>
      </c>
    </row>
    <row r="12" spans="1:10" x14ac:dyDescent="0.35">
      <c r="A12" s="7" t="s">
        <v>262</v>
      </c>
      <c r="B12" s="6" t="s">
        <v>170</v>
      </c>
      <c r="C12" s="6" t="s">
        <v>263</v>
      </c>
      <c r="D12" s="6" t="s">
        <v>91</v>
      </c>
      <c r="E12" s="6" t="s">
        <v>85</v>
      </c>
      <c r="F12" s="18">
        <v>3</v>
      </c>
      <c r="G12" s="22">
        <v>107.13</v>
      </c>
      <c r="H12" s="25">
        <v>321.39</v>
      </c>
      <c r="I12" s="15" t="s">
        <v>245</v>
      </c>
      <c r="J12" s="8" t="s">
        <v>41</v>
      </c>
    </row>
    <row r="13" spans="1:10" x14ac:dyDescent="0.35">
      <c r="A13" s="7" t="s">
        <v>264</v>
      </c>
      <c r="B13" s="6" t="s">
        <v>99</v>
      </c>
      <c r="C13" s="6" t="s">
        <v>265</v>
      </c>
      <c r="D13" s="6" t="s">
        <v>60</v>
      </c>
      <c r="E13" s="6" t="s">
        <v>38</v>
      </c>
      <c r="F13" s="18">
        <v>1</v>
      </c>
      <c r="G13" s="22">
        <v>56.2</v>
      </c>
      <c r="H13" s="25">
        <v>56.2</v>
      </c>
      <c r="I13" s="15" t="s">
        <v>234</v>
      </c>
      <c r="J13" s="8" t="s">
        <v>34</v>
      </c>
    </row>
    <row r="14" spans="1:10" x14ac:dyDescent="0.35">
      <c r="A14" s="7" t="s">
        <v>266</v>
      </c>
      <c r="B14" s="6" t="s">
        <v>267</v>
      </c>
      <c r="C14" s="6" t="s">
        <v>268</v>
      </c>
      <c r="D14" s="6" t="s">
        <v>269</v>
      </c>
      <c r="E14" s="6" t="s">
        <v>85</v>
      </c>
      <c r="F14" s="18">
        <v>3</v>
      </c>
      <c r="G14" s="22">
        <v>81.099999999999994</v>
      </c>
      <c r="H14" s="25">
        <v>243.3</v>
      </c>
      <c r="I14" s="15" t="s">
        <v>240</v>
      </c>
      <c r="J14" s="8" t="s">
        <v>34</v>
      </c>
    </row>
    <row r="15" spans="1:10" x14ac:dyDescent="0.35">
      <c r="A15" s="7" t="s">
        <v>270</v>
      </c>
      <c r="B15" s="6" t="s">
        <v>72</v>
      </c>
      <c r="C15" s="6" t="s">
        <v>271</v>
      </c>
      <c r="D15" s="6" t="s">
        <v>272</v>
      </c>
      <c r="E15" s="6" t="s">
        <v>112</v>
      </c>
      <c r="F15" s="18">
        <v>2</v>
      </c>
      <c r="G15" s="22">
        <v>77.510000000000005</v>
      </c>
      <c r="H15" s="25">
        <v>155.02000000000001</v>
      </c>
      <c r="I15" s="15" t="s">
        <v>240</v>
      </c>
      <c r="J15" s="8" t="s">
        <v>49</v>
      </c>
    </row>
    <row r="16" spans="1:10" x14ac:dyDescent="0.35">
      <c r="A16" s="7" t="s">
        <v>273</v>
      </c>
      <c r="B16" s="6" t="s">
        <v>274</v>
      </c>
      <c r="C16" s="6" t="s">
        <v>239</v>
      </c>
      <c r="D16" s="6" t="s">
        <v>60</v>
      </c>
      <c r="E16" s="6" t="s">
        <v>38</v>
      </c>
      <c r="F16" s="18">
        <v>2</v>
      </c>
      <c r="G16" s="22">
        <v>82.7</v>
      </c>
      <c r="H16" s="25">
        <v>165.4</v>
      </c>
      <c r="I16" s="15" t="s">
        <v>234</v>
      </c>
      <c r="J16" s="8" t="s">
        <v>34</v>
      </c>
    </row>
    <row r="17" spans="1:10" x14ac:dyDescent="0.35">
      <c r="A17" s="7" t="s">
        <v>275</v>
      </c>
      <c r="B17" s="6" t="s">
        <v>276</v>
      </c>
      <c r="C17" s="6" t="s">
        <v>277</v>
      </c>
      <c r="D17" s="6" t="s">
        <v>120</v>
      </c>
      <c r="E17" s="6" t="s">
        <v>85</v>
      </c>
      <c r="F17" s="18">
        <v>3</v>
      </c>
      <c r="G17" s="22">
        <v>83.05</v>
      </c>
      <c r="H17" s="25">
        <v>249.15</v>
      </c>
      <c r="I17" s="15" t="s">
        <v>240</v>
      </c>
      <c r="J17" s="8" t="s">
        <v>49</v>
      </c>
    </row>
    <row r="18" spans="1:10" x14ac:dyDescent="0.35">
      <c r="A18" s="7" t="s">
        <v>278</v>
      </c>
      <c r="B18" s="6" t="s">
        <v>279</v>
      </c>
      <c r="C18" s="6" t="s">
        <v>280</v>
      </c>
      <c r="D18" s="6" t="s">
        <v>281</v>
      </c>
      <c r="E18" s="6" t="s">
        <v>38</v>
      </c>
      <c r="F18" s="18">
        <v>6</v>
      </c>
      <c r="G18" s="22">
        <v>101.41</v>
      </c>
      <c r="H18" s="25">
        <v>608.46</v>
      </c>
      <c r="I18" s="15" t="s">
        <v>234</v>
      </c>
      <c r="J18" s="8" t="s">
        <v>34</v>
      </c>
    </row>
    <row r="19" spans="1:10" x14ac:dyDescent="0.35">
      <c r="A19" s="7" t="s">
        <v>282</v>
      </c>
      <c r="B19" s="6" t="s">
        <v>283</v>
      </c>
      <c r="C19" s="6" t="s">
        <v>252</v>
      </c>
      <c r="D19" s="6" t="s">
        <v>120</v>
      </c>
      <c r="E19" s="6" t="s">
        <v>61</v>
      </c>
      <c r="F19" s="18">
        <v>7</v>
      </c>
      <c r="G19" s="22">
        <v>63.43</v>
      </c>
      <c r="H19" s="25">
        <v>444.01</v>
      </c>
      <c r="I19" s="15" t="s">
        <v>234</v>
      </c>
      <c r="J19" s="8" t="s">
        <v>49</v>
      </c>
    </row>
    <row r="20" spans="1:10" x14ac:dyDescent="0.35">
      <c r="A20" s="7" t="s">
        <v>284</v>
      </c>
      <c r="B20" s="6" t="s">
        <v>143</v>
      </c>
      <c r="C20" s="6" t="s">
        <v>285</v>
      </c>
      <c r="D20" s="6" t="s">
        <v>135</v>
      </c>
      <c r="E20" s="6" t="s">
        <v>61</v>
      </c>
      <c r="F20" s="18">
        <v>3</v>
      </c>
      <c r="G20" s="22">
        <v>7.79</v>
      </c>
      <c r="H20" s="25">
        <v>23.37</v>
      </c>
      <c r="I20" s="15" t="s">
        <v>240</v>
      </c>
      <c r="J20" s="8"/>
    </row>
    <row r="21" spans="1:10" x14ac:dyDescent="0.35">
      <c r="A21" s="7" t="s">
        <v>286</v>
      </c>
      <c r="B21" s="6" t="s">
        <v>138</v>
      </c>
      <c r="C21" s="6" t="s">
        <v>287</v>
      </c>
      <c r="D21" s="6" t="s">
        <v>29</v>
      </c>
      <c r="E21" s="6" t="s">
        <v>140</v>
      </c>
      <c r="F21" s="18">
        <v>3</v>
      </c>
      <c r="G21" s="22">
        <v>67.64</v>
      </c>
      <c r="H21" s="25">
        <v>202.92</v>
      </c>
      <c r="I21" s="15" t="s">
        <v>245</v>
      </c>
      <c r="J21" s="8" t="s">
        <v>49</v>
      </c>
    </row>
    <row r="22" spans="1:10" x14ac:dyDescent="0.35">
      <c r="A22" s="7" t="s">
        <v>288</v>
      </c>
      <c r="B22" s="6" t="s">
        <v>143</v>
      </c>
      <c r="C22" s="6" t="s">
        <v>243</v>
      </c>
      <c r="D22" s="6" t="s">
        <v>135</v>
      </c>
      <c r="E22" s="6" t="s">
        <v>112</v>
      </c>
      <c r="F22" s="18">
        <v>3</v>
      </c>
      <c r="G22" s="22">
        <v>83.7</v>
      </c>
      <c r="H22" s="25">
        <v>251.1</v>
      </c>
      <c r="I22" s="15" t="s">
        <v>245</v>
      </c>
      <c r="J22" s="8"/>
    </row>
    <row r="23" spans="1:10" x14ac:dyDescent="0.35">
      <c r="A23" s="7" t="s">
        <v>289</v>
      </c>
      <c r="B23" s="6" t="s">
        <v>146</v>
      </c>
      <c r="C23" s="6" t="s">
        <v>290</v>
      </c>
      <c r="D23" s="6" t="s">
        <v>91</v>
      </c>
      <c r="E23" s="6" t="s">
        <v>45</v>
      </c>
      <c r="F23" s="18">
        <v>3</v>
      </c>
      <c r="G23" s="22">
        <v>99.71</v>
      </c>
      <c r="H23" s="25">
        <v>299.13</v>
      </c>
      <c r="I23" s="15" t="s">
        <v>245</v>
      </c>
      <c r="J23" s="8" t="s">
        <v>87</v>
      </c>
    </row>
    <row r="24" spans="1:10" x14ac:dyDescent="0.35">
      <c r="A24" s="7" t="s">
        <v>291</v>
      </c>
      <c r="B24" s="6" t="s">
        <v>292</v>
      </c>
      <c r="C24" s="6" t="s">
        <v>293</v>
      </c>
      <c r="D24" s="6" t="s">
        <v>294</v>
      </c>
      <c r="E24" s="6" t="s">
        <v>45</v>
      </c>
      <c r="F24" s="18">
        <v>5</v>
      </c>
      <c r="G24" s="22">
        <v>117.76</v>
      </c>
      <c r="H24" s="25">
        <v>588.79999999999995</v>
      </c>
      <c r="I24" s="15" t="s">
        <v>234</v>
      </c>
      <c r="J24" s="8"/>
    </row>
    <row r="25" spans="1:10" x14ac:dyDescent="0.35">
      <c r="A25" s="7" t="s">
        <v>295</v>
      </c>
      <c r="B25" s="6" t="s">
        <v>279</v>
      </c>
      <c r="C25" s="6" t="s">
        <v>296</v>
      </c>
      <c r="D25" s="6" t="s">
        <v>29</v>
      </c>
      <c r="E25" s="6" t="s">
        <v>30</v>
      </c>
      <c r="F25" s="18">
        <v>5</v>
      </c>
      <c r="G25" s="22">
        <v>62.12</v>
      </c>
      <c r="H25" s="25">
        <v>310.60000000000002</v>
      </c>
      <c r="I25" s="15" t="s">
        <v>245</v>
      </c>
      <c r="J25" s="8" t="s">
        <v>49</v>
      </c>
    </row>
    <row r="26" spans="1:10" x14ac:dyDescent="0.35">
      <c r="A26" s="7" t="s">
        <v>297</v>
      </c>
      <c r="B26" s="6" t="s">
        <v>298</v>
      </c>
      <c r="C26" s="6" t="s">
        <v>299</v>
      </c>
      <c r="D26" s="6" t="s">
        <v>135</v>
      </c>
      <c r="E26" s="6" t="s">
        <v>160</v>
      </c>
      <c r="F26" s="18">
        <v>5</v>
      </c>
      <c r="G26" s="22">
        <v>54.64</v>
      </c>
      <c r="H26" s="25">
        <v>273.2</v>
      </c>
      <c r="I26" s="15" t="s">
        <v>234</v>
      </c>
      <c r="J26" s="8" t="s">
        <v>34</v>
      </c>
    </row>
    <row r="27" spans="1:10" x14ac:dyDescent="0.35">
      <c r="A27" s="7" t="s">
        <v>300</v>
      </c>
      <c r="B27" s="6" t="s">
        <v>99</v>
      </c>
      <c r="C27" s="6" t="s">
        <v>301</v>
      </c>
      <c r="D27" s="6" t="s">
        <v>91</v>
      </c>
      <c r="E27" s="6" t="s">
        <v>61</v>
      </c>
      <c r="F27" s="18">
        <v>3</v>
      </c>
      <c r="G27" s="22">
        <v>5.96</v>
      </c>
      <c r="H27" s="25">
        <v>17.88</v>
      </c>
      <c r="I27" s="15" t="s">
        <v>240</v>
      </c>
      <c r="J27" s="8" t="s">
        <v>34</v>
      </c>
    </row>
    <row r="28" spans="1:10" x14ac:dyDescent="0.35">
      <c r="A28" s="7" t="s">
        <v>302</v>
      </c>
      <c r="B28" s="6" t="s">
        <v>274</v>
      </c>
      <c r="C28" s="6" t="s">
        <v>285</v>
      </c>
      <c r="D28" s="6" t="s">
        <v>60</v>
      </c>
      <c r="E28" s="6" t="s">
        <v>30</v>
      </c>
      <c r="F28" s="18">
        <v>3</v>
      </c>
      <c r="G28" s="22">
        <v>114.8</v>
      </c>
      <c r="H28" s="25">
        <v>344.4</v>
      </c>
      <c r="I28" s="15" t="s">
        <v>240</v>
      </c>
      <c r="J28" s="8" t="s">
        <v>49</v>
      </c>
    </row>
    <row r="29" spans="1:10" x14ac:dyDescent="0.35">
      <c r="A29" s="7" t="s">
        <v>303</v>
      </c>
      <c r="B29" s="6" t="s">
        <v>170</v>
      </c>
      <c r="C29" s="6" t="s">
        <v>304</v>
      </c>
      <c r="D29" s="6" t="s">
        <v>91</v>
      </c>
      <c r="E29" s="6" t="s">
        <v>140</v>
      </c>
      <c r="F29" s="18">
        <v>3</v>
      </c>
      <c r="G29" s="22">
        <v>67.03</v>
      </c>
      <c r="H29" s="25">
        <v>201.09</v>
      </c>
      <c r="I29" s="15" t="s">
        <v>240</v>
      </c>
      <c r="J29" s="8" t="s">
        <v>49</v>
      </c>
    </row>
    <row r="30" spans="1:10" x14ac:dyDescent="0.35">
      <c r="A30" s="7" t="s">
        <v>305</v>
      </c>
      <c r="B30" s="6" t="s">
        <v>306</v>
      </c>
      <c r="C30" s="6" t="s">
        <v>307</v>
      </c>
      <c r="D30" s="6" t="s">
        <v>120</v>
      </c>
      <c r="E30" s="6" t="s">
        <v>160</v>
      </c>
      <c r="F30" s="18">
        <v>2</v>
      </c>
      <c r="G30" s="22">
        <v>11.05</v>
      </c>
      <c r="H30" s="25">
        <v>22.1</v>
      </c>
      <c r="I30" s="15" t="s">
        <v>234</v>
      </c>
      <c r="J30" s="8" t="s">
        <v>34</v>
      </c>
    </row>
    <row r="31" spans="1:10" x14ac:dyDescent="0.35">
      <c r="A31" s="7" t="s">
        <v>308</v>
      </c>
      <c r="B31" s="6" t="s">
        <v>72</v>
      </c>
      <c r="C31" s="6" t="s">
        <v>309</v>
      </c>
      <c r="D31" s="6" t="s">
        <v>310</v>
      </c>
      <c r="E31" s="6" t="s">
        <v>45</v>
      </c>
      <c r="F31" s="18">
        <v>2</v>
      </c>
      <c r="G31" s="22">
        <v>79.05</v>
      </c>
      <c r="H31" s="25">
        <v>158.1</v>
      </c>
      <c r="I31" s="15" t="s">
        <v>240</v>
      </c>
      <c r="J31" s="8" t="s">
        <v>87</v>
      </c>
    </row>
    <row r="32" spans="1:10" x14ac:dyDescent="0.35">
      <c r="A32" s="7" t="s">
        <v>311</v>
      </c>
      <c r="B32" s="6" t="s">
        <v>183</v>
      </c>
      <c r="C32" s="6" t="s">
        <v>312</v>
      </c>
      <c r="D32" s="6" t="s">
        <v>91</v>
      </c>
      <c r="E32" s="6" t="s">
        <v>38</v>
      </c>
      <c r="F32" s="18">
        <v>3</v>
      </c>
      <c r="G32" s="22">
        <v>5.86</v>
      </c>
      <c r="H32" s="25">
        <v>17.579999999999998</v>
      </c>
      <c r="I32" s="15" t="s">
        <v>245</v>
      </c>
      <c r="J32" s="8" t="s">
        <v>34</v>
      </c>
    </row>
    <row r="33" spans="1:10" x14ac:dyDescent="0.35">
      <c r="A33" s="7" t="s">
        <v>313</v>
      </c>
      <c r="B33" s="6" t="s">
        <v>314</v>
      </c>
      <c r="C33" s="6" t="s">
        <v>315</v>
      </c>
      <c r="D33" s="6" t="s">
        <v>316</v>
      </c>
      <c r="E33" s="6" t="s">
        <v>45</v>
      </c>
      <c r="F33" s="18">
        <v>8</v>
      </c>
      <c r="G33" s="22">
        <v>108.34</v>
      </c>
      <c r="H33" s="25">
        <v>866.72</v>
      </c>
      <c r="I33" s="15" t="s">
        <v>245</v>
      </c>
      <c r="J33" s="8" t="s">
        <v>49</v>
      </c>
    </row>
    <row r="34" spans="1:10" x14ac:dyDescent="0.35">
      <c r="A34" s="7" t="s">
        <v>317</v>
      </c>
      <c r="B34" s="6" t="s">
        <v>318</v>
      </c>
      <c r="C34" s="6" t="s">
        <v>252</v>
      </c>
      <c r="D34" s="6" t="s">
        <v>319</v>
      </c>
      <c r="E34" s="6" t="s">
        <v>160</v>
      </c>
      <c r="F34" s="18">
        <v>5</v>
      </c>
      <c r="G34" s="22">
        <v>92.78</v>
      </c>
      <c r="H34" s="25">
        <v>463.9</v>
      </c>
      <c r="I34" s="15" t="s">
        <v>240</v>
      </c>
      <c r="J34" s="8" t="s">
        <v>34</v>
      </c>
    </row>
    <row r="35" spans="1:10" x14ac:dyDescent="0.35">
      <c r="A35" s="7" t="s">
        <v>320</v>
      </c>
      <c r="B35" s="6" t="s">
        <v>292</v>
      </c>
      <c r="C35" s="6" t="s">
        <v>268</v>
      </c>
      <c r="D35" s="6" t="s">
        <v>321</v>
      </c>
      <c r="E35" s="6" t="s">
        <v>38</v>
      </c>
      <c r="F35" s="18">
        <v>2</v>
      </c>
      <c r="G35" s="22">
        <v>35.520000000000003</v>
      </c>
      <c r="H35" s="25">
        <v>71.040000000000006</v>
      </c>
      <c r="I35" s="15" t="s">
        <v>245</v>
      </c>
      <c r="J35" s="8" t="s">
        <v>87</v>
      </c>
    </row>
    <row r="36" spans="1:10" x14ac:dyDescent="0.35">
      <c r="A36" s="7" t="s">
        <v>322</v>
      </c>
      <c r="B36" s="6" t="s">
        <v>323</v>
      </c>
      <c r="C36" s="6" t="s">
        <v>324</v>
      </c>
      <c r="D36" s="6" t="s">
        <v>60</v>
      </c>
      <c r="E36" s="6" t="s">
        <v>38</v>
      </c>
      <c r="F36" s="18">
        <v>3</v>
      </c>
      <c r="G36" s="22">
        <v>11.07</v>
      </c>
      <c r="H36" s="25">
        <v>33.21</v>
      </c>
      <c r="I36" s="15" t="s">
        <v>234</v>
      </c>
      <c r="J36" s="8" t="s">
        <v>87</v>
      </c>
    </row>
    <row r="37" spans="1:10" x14ac:dyDescent="0.35">
      <c r="A37" s="7" t="s">
        <v>325</v>
      </c>
      <c r="B37" s="6" t="s">
        <v>326</v>
      </c>
      <c r="C37" s="6" t="s">
        <v>315</v>
      </c>
      <c r="D37" s="6" t="s">
        <v>91</v>
      </c>
      <c r="E37" s="6" t="s">
        <v>140</v>
      </c>
      <c r="F37" s="18">
        <v>5</v>
      </c>
      <c r="G37" s="22">
        <v>61.37</v>
      </c>
      <c r="H37" s="25">
        <v>306.85000000000002</v>
      </c>
      <c r="I37" s="15" t="s">
        <v>234</v>
      </c>
      <c r="J37" s="8" t="s">
        <v>49</v>
      </c>
    </row>
    <row r="38" spans="1:10" x14ac:dyDescent="0.35">
      <c r="A38" s="7" t="s">
        <v>327</v>
      </c>
      <c r="B38" s="6" t="s">
        <v>170</v>
      </c>
      <c r="C38" s="6" t="s">
        <v>328</v>
      </c>
      <c r="D38" s="6" t="s">
        <v>120</v>
      </c>
      <c r="E38" s="6" t="s">
        <v>61</v>
      </c>
      <c r="F38" s="18">
        <v>3</v>
      </c>
      <c r="G38" s="22">
        <v>48.56</v>
      </c>
      <c r="H38" s="25">
        <v>145.68</v>
      </c>
      <c r="I38" s="15" t="s">
        <v>240</v>
      </c>
      <c r="J38" s="8" t="s">
        <v>41</v>
      </c>
    </row>
    <row r="39" spans="1:10" x14ac:dyDescent="0.35">
      <c r="A39" s="7" t="s">
        <v>329</v>
      </c>
      <c r="B39" s="6" t="s">
        <v>212</v>
      </c>
      <c r="C39" s="6" t="s">
        <v>330</v>
      </c>
      <c r="D39" s="6" t="s">
        <v>331</v>
      </c>
      <c r="E39" s="6" t="s">
        <v>61</v>
      </c>
      <c r="F39" s="18">
        <v>2</v>
      </c>
      <c r="G39" s="22">
        <v>5.38</v>
      </c>
      <c r="H39" s="25">
        <v>10.76</v>
      </c>
      <c r="I39" s="15" t="s">
        <v>234</v>
      </c>
      <c r="J39" s="8" t="s">
        <v>49</v>
      </c>
    </row>
    <row r="40" spans="1:10" x14ac:dyDescent="0.35">
      <c r="A40" s="7" t="s">
        <v>332</v>
      </c>
      <c r="B40" s="6" t="s">
        <v>333</v>
      </c>
      <c r="C40" s="6" t="s">
        <v>334</v>
      </c>
      <c r="D40" s="6" t="s">
        <v>60</v>
      </c>
      <c r="E40" s="6" t="s">
        <v>38</v>
      </c>
      <c r="F40" s="18">
        <v>2</v>
      </c>
      <c r="G40" s="22">
        <v>8.3000000000000007</v>
      </c>
      <c r="H40" s="25">
        <v>16.600000000000001</v>
      </c>
      <c r="I40" s="15" t="s">
        <v>240</v>
      </c>
      <c r="J40" s="8"/>
    </row>
    <row r="41" spans="1:10" x14ac:dyDescent="0.35">
      <c r="A41" s="9" t="s">
        <v>335</v>
      </c>
      <c r="B41" s="10" t="s">
        <v>336</v>
      </c>
      <c r="C41" s="10" t="s">
        <v>249</v>
      </c>
      <c r="D41" s="10" t="s">
        <v>60</v>
      </c>
      <c r="E41" s="10" t="s">
        <v>45</v>
      </c>
      <c r="F41" s="19">
        <v>8</v>
      </c>
      <c r="G41" s="23">
        <v>98.14</v>
      </c>
      <c r="H41" s="26">
        <v>785.12</v>
      </c>
      <c r="I41" s="16" t="s">
        <v>245</v>
      </c>
      <c r="J41" s="11" t="s">
        <v>87</v>
      </c>
    </row>
  </sheetData>
  <pageMargins left="0.25" right="0.25" top="0.75" bottom="0.75" header="0.3" footer="0.3"/>
  <pageSetup paperSize="9" scale="74"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K11" sqref="K11"/>
    </sheetView>
  </sheetViews>
  <sheetFormatPr defaultRowHeight="14.5" x14ac:dyDescent="0.35"/>
  <cols>
    <col min="1" max="1" width="16.36328125" bestFit="1" customWidth="1"/>
    <col min="2" max="2" width="23.08984375" customWidth="1"/>
  </cols>
  <sheetData>
    <row r="1" spans="1:7" x14ac:dyDescent="0.35">
      <c r="A1" s="28" t="s">
        <v>227</v>
      </c>
      <c r="B1" t="s">
        <v>340</v>
      </c>
    </row>
    <row r="2" spans="1:7" x14ac:dyDescent="0.35">
      <c r="A2" t="s">
        <v>85</v>
      </c>
      <c r="B2" s="30">
        <v>12</v>
      </c>
    </row>
    <row r="3" spans="1:7" x14ac:dyDescent="0.35">
      <c r="A3" t="s">
        <v>61</v>
      </c>
      <c r="B3" s="30">
        <v>35</v>
      </c>
      <c r="C3" s="31" t="s">
        <v>342</v>
      </c>
      <c r="D3" s="31"/>
      <c r="E3" s="31"/>
      <c r="F3" s="31"/>
      <c r="G3" s="31"/>
    </row>
    <row r="4" spans="1:7" x14ac:dyDescent="0.35">
      <c r="A4" t="s">
        <v>45</v>
      </c>
      <c r="B4" s="30">
        <v>33</v>
      </c>
      <c r="C4" s="31"/>
      <c r="D4" s="31"/>
      <c r="E4" s="31"/>
      <c r="F4" s="31"/>
      <c r="G4" s="31"/>
    </row>
    <row r="5" spans="1:7" x14ac:dyDescent="0.35">
      <c r="A5" t="s">
        <v>30</v>
      </c>
      <c r="B5" s="30">
        <v>11</v>
      </c>
      <c r="C5" s="31"/>
      <c r="D5" s="31"/>
      <c r="E5" s="31"/>
      <c r="F5" s="31"/>
      <c r="G5" s="31"/>
    </row>
    <row r="6" spans="1:7" x14ac:dyDescent="0.35">
      <c r="A6" t="s">
        <v>160</v>
      </c>
      <c r="B6" s="30">
        <v>12</v>
      </c>
      <c r="C6" s="31"/>
      <c r="D6" s="31"/>
      <c r="E6" s="31"/>
      <c r="F6" s="31"/>
      <c r="G6" s="31"/>
    </row>
    <row r="7" spans="1:7" x14ac:dyDescent="0.35">
      <c r="A7" t="s">
        <v>38</v>
      </c>
      <c r="B7" s="30">
        <v>26</v>
      </c>
    </row>
    <row r="8" spans="1:7" x14ac:dyDescent="0.35">
      <c r="A8" t="s">
        <v>140</v>
      </c>
      <c r="B8" s="30">
        <v>11</v>
      </c>
    </row>
    <row r="9" spans="1:7" x14ac:dyDescent="0.35">
      <c r="A9" t="s">
        <v>112</v>
      </c>
      <c r="B9" s="30">
        <v>5</v>
      </c>
    </row>
    <row r="10" spans="1:7" x14ac:dyDescent="0.35">
      <c r="A10" t="s">
        <v>339</v>
      </c>
      <c r="B10" s="30">
        <v>145</v>
      </c>
    </row>
  </sheetData>
  <mergeCells count="1">
    <mergeCell ref="C3:G6"/>
  </mergeCell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G14" sqref="G14"/>
    </sheetView>
  </sheetViews>
  <sheetFormatPr defaultRowHeight="14.5" x14ac:dyDescent="0.35"/>
  <cols>
    <col min="1" max="1" width="16.36328125" customWidth="1"/>
    <col min="2" max="2" width="23.36328125" bestFit="1" customWidth="1"/>
  </cols>
  <sheetData>
    <row r="1" spans="1:7" x14ac:dyDescent="0.35">
      <c r="A1" s="28" t="s">
        <v>338</v>
      </c>
      <c r="B1" t="s">
        <v>341</v>
      </c>
    </row>
    <row r="2" spans="1:7" x14ac:dyDescent="0.35">
      <c r="A2" s="29" t="s">
        <v>85</v>
      </c>
      <c r="B2" s="30">
        <v>305.3</v>
      </c>
    </row>
    <row r="3" spans="1:7" x14ac:dyDescent="0.35">
      <c r="A3" s="29" t="s">
        <v>61</v>
      </c>
      <c r="B3" s="30">
        <v>313.33999999999997</v>
      </c>
      <c r="C3" s="32" t="s">
        <v>343</v>
      </c>
      <c r="D3" s="32"/>
      <c r="E3" s="32"/>
      <c r="F3" s="32"/>
      <c r="G3" s="32"/>
    </row>
    <row r="4" spans="1:7" x14ac:dyDescent="0.35">
      <c r="A4" s="29" t="s">
        <v>45</v>
      </c>
      <c r="B4" s="30">
        <v>567.28</v>
      </c>
      <c r="C4" s="32"/>
      <c r="D4" s="32"/>
      <c r="E4" s="32"/>
      <c r="F4" s="32"/>
      <c r="G4" s="32"/>
    </row>
    <row r="5" spans="1:7" x14ac:dyDescent="0.35">
      <c r="A5" s="29" t="s">
        <v>30</v>
      </c>
      <c r="B5" s="30">
        <v>277.27999999999997</v>
      </c>
      <c r="C5" s="32"/>
      <c r="D5" s="32"/>
      <c r="E5" s="32"/>
      <c r="F5" s="32"/>
      <c r="G5" s="32"/>
    </row>
    <row r="6" spans="1:7" x14ac:dyDescent="0.35">
      <c r="A6" s="29" t="s">
        <v>160</v>
      </c>
      <c r="B6" s="30">
        <v>158.47</v>
      </c>
      <c r="C6" s="32"/>
      <c r="D6" s="32"/>
      <c r="E6" s="32"/>
      <c r="F6" s="32"/>
      <c r="G6" s="32"/>
    </row>
    <row r="7" spans="1:7" x14ac:dyDescent="0.35">
      <c r="A7" s="29" t="s">
        <v>38</v>
      </c>
      <c r="B7" s="30">
        <v>486.90999999999997</v>
      </c>
    </row>
    <row r="8" spans="1:7" x14ac:dyDescent="0.35">
      <c r="A8" s="29" t="s">
        <v>140</v>
      </c>
      <c r="B8" s="30">
        <v>196.04000000000002</v>
      </c>
    </row>
    <row r="9" spans="1:7" x14ac:dyDescent="0.35">
      <c r="A9" s="29" t="s">
        <v>112</v>
      </c>
      <c r="B9" s="30">
        <v>161.21</v>
      </c>
    </row>
    <row r="10" spans="1:7" x14ac:dyDescent="0.35">
      <c r="A10" s="29" t="s">
        <v>339</v>
      </c>
      <c r="B10" s="30">
        <v>2465.83</v>
      </c>
    </row>
  </sheetData>
  <mergeCells count="1">
    <mergeCell ref="C3:G6"/>
  </mergeCell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 Brief</vt:lpstr>
      <vt:lpstr>Source Data</vt:lpstr>
      <vt:lpstr>Solution (cleaned) - answer</vt: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SHANTO</cp:lastModifiedBy>
  <cp:lastPrinted>2026-03-16T10:04:42Z</cp:lastPrinted>
  <dcterms:created xsi:type="dcterms:W3CDTF">2026-03-16T09:36:41Z</dcterms:created>
  <dcterms:modified xsi:type="dcterms:W3CDTF">2026-03-16T10:04:47Z</dcterms:modified>
</cp:coreProperties>
</file>